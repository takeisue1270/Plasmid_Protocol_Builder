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1" autoFilterDateGrouping="1"/>
  </bookViews>
  <sheets>
    <sheet xmlns:r="http://schemas.openxmlformats.org/officeDocument/2006/relationships" name="RElist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E" sheetId="3" state="visible" r:id="rId3"/>
    <sheet xmlns:r="http://schemas.openxmlformats.org/officeDocument/2006/relationships" name="PCR" sheetId="4" state="visible" r:id="rId4"/>
    <sheet xmlns:r="http://schemas.openxmlformats.org/officeDocument/2006/relationships" name="HiFi" sheetId="5" state="visible" r:id="rId5"/>
    <sheet xmlns:r="http://schemas.openxmlformats.org/officeDocument/2006/relationships" name="TF" sheetId="6" state="visible" r:id="rId6"/>
  </sheets>
  <definedNames>
    <definedName name="_xlnm.Print_Area" localSheetId="2">'RE'!$C$3:$F$22</definedName>
    <definedName name="_xlnm.Print_Area" localSheetId="4">'HiFi'!$A$1:$J$50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_ "/>
    <numFmt numFmtId="166" formatCode="0.000"/>
    <numFmt numFmtId="167" formatCode="0.0000"/>
    <numFmt numFmtId="168" formatCode="00"/>
    <numFmt numFmtId="169" formatCode="yyyy/mm/dd"/>
  </numFmts>
  <fonts count="36">
    <font>
      <name val="游ゴシック"/>
      <charset val="128"/>
      <family val="2"/>
      <color theme="1"/>
      <sz val="11"/>
      <scheme val="minor"/>
    </font>
    <font>
      <name val="Times New Roman"/>
      <family val="1"/>
      <b val="1"/>
      <color theme="1"/>
      <sz val="11"/>
    </font>
    <font>
      <name val="游ゴシック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Times New Roman"/>
      <family val="1"/>
      <color theme="1"/>
      <sz val="11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theme="1"/>
      <sz val="11"/>
      <u val="single"/>
      <scheme val="minor"/>
    </font>
    <font>
      <name val="Century Schoolbook"/>
      <family val="1"/>
      <color theme="1"/>
      <sz val="11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color theme="1"/>
      <sz val="10"/>
      <scheme val="minor"/>
    </font>
    <font>
      <name val="游ゴシック"/>
      <charset val="128"/>
      <family val="2"/>
      <color theme="1"/>
      <sz val="11"/>
      <scheme val="minor"/>
    </font>
    <font>
      <name val="Meiryo UI"/>
      <charset val="128"/>
      <family val="3"/>
      <b val="1"/>
      <color theme="1"/>
      <sz val="11"/>
    </font>
    <font>
      <name val="Times New Roman"/>
      <family val="3"/>
      <b val="1"/>
      <color theme="1"/>
      <sz val="11"/>
    </font>
    <font>
      <name val="游ゴシック"/>
      <charset val="128"/>
      <family val="3"/>
      <b val="1"/>
      <color theme="1"/>
      <sz val="11"/>
    </font>
    <font>
      <name val="Times New Roman"/>
      <family val="1"/>
      <b val="1"/>
      <color theme="1"/>
      <sz val="11"/>
      <u val="single"/>
    </font>
    <font>
      <name val="Meiryo UI"/>
      <charset val="128"/>
      <family val="3"/>
      <b val="1"/>
      <color theme="1"/>
      <sz val="11"/>
      <u val="single"/>
    </font>
    <font>
      <name val="Yu Gothic"/>
      <charset val="128"/>
      <family val="1"/>
      <color theme="1"/>
      <sz val="11"/>
    </font>
    <font>
      <name val="Times New Roman"/>
      <charset val="128"/>
      <family val="2"/>
      <sz val="6"/>
    </font>
    <font>
      <name val="Meiryo UI"/>
      <charset val="128"/>
      <family val="2"/>
      <color theme="1"/>
      <sz val="11"/>
    </font>
    <font>
      <name val="Times New Roman"/>
      <family val="1"/>
      <sz val="11"/>
    </font>
    <font>
      <name val="Meiryo UI"/>
      <charset val="128"/>
      <family val="2"/>
      <sz val="11"/>
    </font>
    <font>
      <name val="Times New Roman"/>
      <family val="1"/>
      <color rgb="FFFF0000"/>
      <sz val="11"/>
    </font>
    <font>
      <name val="Meiryo UI"/>
      <charset val="128"/>
      <family val="3"/>
      <color rgb="FFFF0000"/>
      <sz val="11"/>
    </font>
    <font>
      <name val="Meiryo UI"/>
      <charset val="128"/>
      <family val="2"/>
      <color rgb="FFFF0000"/>
      <sz val="11"/>
    </font>
    <font>
      <name val="ＭＳ Ｐ明朝"/>
      <charset val="128"/>
      <family val="1"/>
      <color theme="1"/>
      <sz val="11"/>
    </font>
    <font>
      <name val="ＭＳ ゴシック"/>
      <charset val="128"/>
      <family val="3"/>
      <color theme="1"/>
      <sz val="11"/>
    </font>
    <font>
      <name val="Times New Roman"/>
      <family val="2"/>
      <color theme="1"/>
      <sz val="11"/>
    </font>
    <font>
      <name val="Segoe UI Symbol"/>
      <family val="2"/>
      <color theme="1"/>
      <sz val="11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2"/>
      <color theme="1"/>
      <sz val="10"/>
      <scheme val="minor"/>
    </font>
    <font>
      <name val="游ゴシック"/>
      <charset val="128"/>
      <family val="3"/>
      <b val="1"/>
      <color rgb="FFFF0000"/>
      <sz val="10"/>
      <scheme val="minor"/>
    </font>
    <font>
      <name val="游ゴシック"/>
      <charset val="128"/>
      <family val="2"/>
      <color rgb="FF808080"/>
      <sz val="10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rgb="FF808080"/>
      <sz val="11"/>
      <scheme val="minor"/>
    </font>
    <font>
      <name val="游ゴシック"/>
      <charset val="128"/>
      <family val="3"/>
      <b val="1"/>
      <color rgb="FF0000C0"/>
      <sz val="10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9DC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D0000"/>
        <bgColor indexed="64"/>
      </patternFill>
    </fill>
    <fill>
      <patternFill patternType="solid">
        <fgColor rgb="FF30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118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4" fillId="0" borderId="0" applyAlignment="1" pivotButton="0" quotePrefix="0" xfId="1">
      <alignment horizontal="right" vertical="center"/>
    </xf>
    <xf numFmtId="0" fontId="1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14" fillId="0" borderId="0" applyAlignment="1" pivotButton="0" quotePrefix="0" xfId="1">
      <alignment horizontal="right" vertical="center"/>
    </xf>
    <xf numFmtId="0" fontId="14" fillId="0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0" fontId="19" fillId="3" borderId="0" applyAlignment="1" pivotButton="0" quotePrefix="0" xfId="1">
      <alignment vertical="center"/>
    </xf>
    <xf numFmtId="0" fontId="4" fillId="3" borderId="0" applyAlignment="1" pivotButton="0" quotePrefix="0" xfId="1">
      <alignment vertical="center"/>
    </xf>
    <xf numFmtId="164" fontId="4" fillId="3" borderId="0" applyAlignment="1" pivotButton="0" quotePrefix="0" xfId="1">
      <alignment vertical="center"/>
    </xf>
    <xf numFmtId="0" fontId="21" fillId="0" borderId="0" applyAlignment="1" pivotButton="0" quotePrefix="0" xfId="1">
      <alignment vertical="center"/>
    </xf>
    <xf numFmtId="0" fontId="21" fillId="3" borderId="0" applyAlignment="1" pivotButton="0" quotePrefix="0" xfId="1">
      <alignment vertical="center"/>
    </xf>
    <xf numFmtId="0" fontId="26" fillId="0" borderId="0" applyAlignment="1" pivotButton="0" quotePrefix="0" xfId="1">
      <alignment vertical="center"/>
    </xf>
    <xf numFmtId="1" fontId="4" fillId="0" borderId="0" applyAlignment="1" pivotButton="0" quotePrefix="0" xfId="1">
      <alignment vertical="center"/>
    </xf>
    <xf numFmtId="0" fontId="19" fillId="0" borderId="0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 vertical="center"/>
    </xf>
    <xf numFmtId="0" fontId="0" fillId="4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2" fontId="0" fillId="4" borderId="11" applyAlignment="1" pivotButton="0" quotePrefix="0" xfId="0">
      <alignment vertical="center"/>
    </xf>
    <xf numFmtId="164" fontId="0" fillId="0" borderId="11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166" fontId="0" fillId="0" borderId="11" applyAlignment="1" pivotButton="0" quotePrefix="0" xfId="0">
      <alignment vertical="center"/>
    </xf>
    <xf numFmtId="2" fontId="0" fillId="0" borderId="1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right" vertical="center"/>
    </xf>
    <xf numFmtId="0" fontId="29" fillId="0" borderId="1" applyAlignment="1" pivotButton="0" quotePrefix="0" xfId="2">
      <alignment horizontal="center" vertical="center" wrapText="1"/>
    </xf>
    <xf numFmtId="0" fontId="10" fillId="0" borderId="10" applyAlignment="1" pivotButton="0" quotePrefix="0" xfId="2">
      <alignment horizontal="center" vertical="center"/>
    </xf>
    <xf numFmtId="2" fontId="10" fillId="4" borderId="11" applyAlignment="1" pivotButton="0" quotePrefix="0" xfId="2">
      <alignment vertical="center"/>
    </xf>
    <xf numFmtId="0" fontId="10" fillId="4" borderId="11" applyAlignment="1" pivotButton="0" quotePrefix="0" xfId="2">
      <alignment vertical="center"/>
    </xf>
    <xf numFmtId="164" fontId="10" fillId="0" borderId="11" applyAlignment="1" pivotButton="0" quotePrefix="0" xfId="2">
      <alignment vertical="center"/>
    </xf>
    <xf numFmtId="167" fontId="10" fillId="0" borderId="11" applyAlignment="1" pivotButton="0" quotePrefix="0" xfId="2">
      <alignment vertical="center"/>
    </xf>
    <xf numFmtId="2" fontId="8" fillId="5" borderId="11" applyAlignment="1" pivotButton="0" quotePrefix="0" xfId="2">
      <alignment vertical="center"/>
    </xf>
    <xf numFmtId="1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shrinkToFit="1"/>
    </xf>
    <xf numFmtId="49" fontId="1" fillId="2" borderId="0" applyAlignment="1" pivotButton="0" quotePrefix="0" xfId="0">
      <alignment vertical="center"/>
    </xf>
    <xf numFmtId="49" fontId="1" fillId="2" borderId="0" applyAlignment="1" pivotButton="0" quotePrefix="0" xfId="0">
      <alignment vertical="center" shrinkToFit="1"/>
    </xf>
    <xf numFmtId="168" fontId="4" fillId="0" borderId="0" applyAlignment="1" pivotButton="0" quotePrefix="1" xfId="0">
      <alignment vertical="center"/>
    </xf>
    <xf numFmtId="0" fontId="4" fillId="0" borderId="0" applyAlignment="1" pivotButton="0" quotePrefix="0" xfId="0">
      <alignment vertical="center" shrinkToFit="1"/>
    </xf>
    <xf numFmtId="14" fontId="4" fillId="0" borderId="0" applyAlignment="1" pivotButton="0" quotePrefix="0" xfId="0">
      <alignment vertical="center" shrinkToFit="1"/>
    </xf>
    <xf numFmtId="0" fontId="5" fillId="6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5" fillId="7" borderId="12" applyAlignment="1" pivotButton="0" quotePrefix="0" xfId="0">
      <alignment horizontal="center" vertical="center" wrapText="1"/>
    </xf>
    <xf numFmtId="0" fontId="5" fillId="7" borderId="13" applyAlignment="1" pivotButton="0" quotePrefix="0" xfId="0">
      <alignment horizontal="center" vertical="center" wrapText="1"/>
    </xf>
    <xf numFmtId="0" fontId="29" fillId="0" borderId="12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/>
    </xf>
    <xf numFmtId="0" fontId="32" fillId="0" borderId="12" applyAlignment="1" pivotButton="0" quotePrefix="0" xfId="0">
      <alignment vertical="center"/>
    </xf>
    <xf numFmtId="0" fontId="5" fillId="8" borderId="12" applyAlignment="1" pivotButton="0" quotePrefix="0" xfId="0">
      <alignment vertical="center"/>
    </xf>
    <xf numFmtId="0" fontId="33" fillId="0" borderId="12" applyAlignment="1" pivotButton="0" quotePrefix="0" xfId="0">
      <alignment vertical="center"/>
    </xf>
    <xf numFmtId="164" fontId="32" fillId="0" borderId="12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/>
    </xf>
    <xf numFmtId="0" fontId="5" fillId="9" borderId="12" applyAlignment="1" pivotButton="0" quotePrefix="0" xfId="0">
      <alignment vertical="center"/>
    </xf>
    <xf numFmtId="164" fontId="5" fillId="9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10" borderId="12" applyAlignment="1" pivotButton="0" quotePrefix="0" xfId="0">
      <alignment vertical="center"/>
    </xf>
    <xf numFmtId="164" fontId="5" fillId="10" borderId="12" applyAlignment="1" pivotButton="0" quotePrefix="0" xfId="0">
      <alignment horizontal="center" vertical="center"/>
    </xf>
    <xf numFmtId="0" fontId="29" fillId="0" borderId="12" applyAlignment="1" pivotButton="0" quotePrefix="0" xfId="0">
      <alignment vertical="center"/>
    </xf>
    <xf numFmtId="0" fontId="29" fillId="0" borderId="2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2" applyAlignment="1" pivotButton="0" quotePrefix="0" xfId="2">
      <alignment horizontal="center" vertical="center" wrapText="1"/>
    </xf>
    <xf numFmtId="0" fontId="29" fillId="0" borderId="9" applyAlignment="1" pivotButton="0" quotePrefix="0" xfId="2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9" fillId="0" borderId="1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35" fillId="0" borderId="0" pivotButton="0" quotePrefix="0" xfId="0"/>
    <xf numFmtId="168" fontId="4" fillId="0" borderId="0" applyAlignment="1" pivotButton="0" quotePrefix="1" xfId="0">
      <alignment vertical="center"/>
    </xf>
    <xf numFmtId="168" fontId="0" fillId="0" borderId="0" pivotButton="0" quotePrefix="0" xfId="0"/>
    <xf numFmtId="169" fontId="0" fillId="0" borderId="0" applyAlignment="1" pivotButton="0" quotePrefix="0" xfId="0">
      <alignment vertical="center"/>
    </xf>
    <xf numFmtId="164" fontId="32" fillId="0" borderId="12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164" fontId="5" fillId="9" borderId="12" applyAlignment="1" pivotButton="0" quotePrefix="0" xfId="0">
      <alignment horizontal="center" vertical="center"/>
    </xf>
    <xf numFmtId="164" fontId="5" fillId="10" borderId="12" applyAlignment="1" pivotButton="0" quotePrefix="0" xfId="0">
      <alignment horizontal="center" vertical="center"/>
    </xf>
    <xf numFmtId="0" fontId="0" fillId="0" borderId="4" pivotButton="0" quotePrefix="0" xfId="0"/>
    <xf numFmtId="0" fontId="29" fillId="0" borderId="10" applyAlignment="1" pivotButton="0" quotePrefix="0" xfId="2">
      <alignment horizontal="center" vertical="center" wrapText="1"/>
    </xf>
    <xf numFmtId="0" fontId="0" fillId="0" borderId="18" pivotButton="0" quotePrefix="0" xfId="0"/>
    <xf numFmtId="0" fontId="0" fillId="0" borderId="9" pivotButton="0" quotePrefix="0" xfId="0"/>
    <xf numFmtId="0" fontId="0" fillId="0" borderId="11" pivotButton="0" quotePrefix="0" xfId="0"/>
    <xf numFmtId="165" fontId="0" fillId="0" borderId="0" applyAlignment="1" pivotButton="0" quotePrefix="0" xfId="0">
      <alignment vertical="center"/>
    </xf>
    <xf numFmtId="164" fontId="10" fillId="0" borderId="11" applyAlignment="1" pivotButton="0" quotePrefix="0" xfId="2">
      <alignment vertical="center"/>
    </xf>
    <xf numFmtId="167" fontId="10" fillId="0" borderId="11" applyAlignment="1" pivotButton="0" quotePrefix="0" xfId="2">
      <alignment vertical="center"/>
    </xf>
    <xf numFmtId="166" fontId="0" fillId="0" borderId="1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11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left" vertical="center"/>
    </xf>
  </cellXfs>
  <cellStyles count="3">
    <cellStyle name="Normal" xfId="0" builtinId="0"/>
    <cellStyle name="標準 2" xfId="1"/>
    <cellStyle name="Normal 2" xfId="2"/>
  </cellStyles>
  <dxfs count="4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Plasmid_Protocol_Builder</author>
  </authors>
  <commentList>
    <comment ref="A3" authorId="0" shapeId="0">
      <text>
        <t>Add the enzymes you need below the last row, one per row, keeping columns A-D (Enzyme, Buffer, Reaction temp., Heat inactivation). Write No in D if the enzyme cannot be heat-inactivated. The RE sheet reads A4:D650. Edits made to an output workbook are lost the next time it is built: copy the template, edit the copy and pass it with --template.</t>
      </text>
    </comment>
  </commentList>
</comments>
</file>

<file path=xl/comments/comment2.xml><?xml version="1.0" encoding="utf-8"?>
<comments xmlns="http://schemas.openxmlformats.org/spreadsheetml/2006/main">
  <authors>
    <author>Plasmid_Protocol_Builder</author>
  </authors>
  <commentList>
    <comment ref="A1" authorId="0" shapeId="0">
      <text>
        <t>Only columns B, C, G, H, I, J, L, M, N, O and P are read by the other sheets. The other columns are free for your own notes.</t>
      </text>
    </comment>
  </commentList>
</comments>
</file>

<file path=xl/comments/comment3.xml><?xml version="1.0" encoding="utf-8"?>
<comments xmlns="http://schemas.openxmlformats.org/spreadsheetml/2006/main">
  <authors>
    <author>Plasmid_Protocol_Builder</author>
  </authors>
  <commentList>
    <comment ref="H13" authorId="0" shapeId="0">
      <text>
        <t>The buffer and its volume (1/10 of the reaction) are for 10×CutSmart. An enzyme that needs another buffer needs this column and the premix below changed.</t>
      </text>
    </comment>
  </commentList>
</comments>
</file>

<file path=xl/comments/comment4.xml><?xml version="1.0" encoding="utf-8"?>
<comments xmlns="http://schemas.openxmlformats.org/spreadsheetml/2006/main">
  <authors>
    <author>Plasmid_Protocol_Builder</author>
  </authors>
  <commentList>
    <comment ref="B28" authorId="0" shapeId="0">
      <text>
        <t>Volumes and cycling are for KOD One. For another polymerase change the volumes here and the conditions in rows 37-41.</t>
      </text>
    </comment>
    <comment ref="B46" authorId="0" shapeId="0">
      <text>
        <t>The volumes in rows 46-47 are for FastDigest-type DpnI and its 10×FD buffer. For another DpnI, change them.</t>
      </text>
    </comment>
  </commentList>
</comments>
</file>

<file path=xl/comments/comment5.xml><?xml version="1.0" encoding="utf-8"?>
<comments xmlns="http://schemas.openxmlformats.org/spreadsheetml/2006/main">
  <authors>
    <author>Plasmid_Protocol_Builder</author>
  </authors>
  <commentList>
    <comment ref="B6" authorId="0" shapeId="0">
      <text>
        <t>25 uL of competent cells per sample is the author's value. Change the 25 in the formula in column C, the text in column E and the instruction line in row 12 to match the cells you use.</t>
      </text>
    </comment>
    <comment ref="B7" authorId="0" shapeId="0">
      <text>
        <t>900 uL of medium per sample is the author's value. Change the 900 in the formula in column C, the text in column E and the instruction line in row 18 to match the medium you use.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96" min="1" max="1"/>
    <col width="20" customWidth="1" style="96" min="2" max="2"/>
    <col width="16" customWidth="1" style="96" min="3" max="3"/>
    <col width="26" customWidth="1" style="96" min="4" max="4"/>
  </cols>
  <sheetData>
    <row r="1">
      <c r="A1" t="inlineStr">
        <is>
          <t>Restriction enzymes the RE sheet looks up. From row 4 down, one enzyme per row: Enzyme, Buffer, Reaction temp., Heat inactivation (No if it cannot be heat-inactivated).</t>
        </is>
      </c>
    </row>
    <row r="2">
      <c r="A2" t="inlineStr">
        <is>
          <t>Names are matched as written in the design record, ignoring case, without registered-trademark signs or spaces at the ends. Add rows below the last one; the RE sheet reads A4:D650. Check every value against the current datasheet.</t>
        </is>
      </c>
    </row>
    <row r="3">
      <c r="A3" s="97" t="inlineStr">
        <is>
          <t>Enzyme</t>
        </is>
      </c>
      <c r="B3" s="97" t="inlineStr">
        <is>
          <t>Buffer</t>
        </is>
      </c>
      <c r="C3" s="97" t="inlineStr">
        <is>
          <t>Reaction temp.</t>
        </is>
      </c>
      <c r="D3" s="97" t="inlineStr">
        <is>
          <t>Heat inactivation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"/>
  <sheetViews>
    <sheetView tabSelected="1" workbookViewId="0">
      <selection activeCell="A1" sqref="A1"/>
    </sheetView>
  </sheetViews>
  <sheetFormatPr baseColWidth="8" defaultRowHeight="18.75"/>
  <cols>
    <col width="20" bestFit="1" customWidth="1" style="96" min="1" max="1"/>
    <col width="10.875" bestFit="1" customWidth="1" style="96" min="2" max="2"/>
    <col width="8.375" bestFit="1" customWidth="1" style="96" min="3" max="3"/>
    <col width="8" bestFit="1" customWidth="1" style="96" min="4" max="4"/>
    <col width="11.875" bestFit="1" customWidth="1" style="96" min="5" max="5"/>
    <col width="7.375" bestFit="1" customWidth="1" style="96" min="6" max="6"/>
    <col width="65.375" bestFit="1" customWidth="1" style="96" min="7" max="7"/>
    <col width="7.875" bestFit="1" customWidth="1" style="96" min="8" max="8"/>
    <col width="5.125" bestFit="1" customWidth="1" style="96" min="9" max="9"/>
    <col width="23.125" bestFit="1" customWidth="1" style="96" min="10" max="10"/>
    <col width="15" bestFit="1" customWidth="1" style="96" min="11" max="11"/>
    <col width="18.75" bestFit="1" customWidth="1" style="96" min="12" max="13"/>
    <col width="10.625" bestFit="1" customWidth="1" style="96" min="14" max="14"/>
    <col width="5.625" bestFit="1" customWidth="1" style="96" min="15" max="15"/>
    <col width="11.375" bestFit="1" customWidth="1" style="96" min="16" max="16"/>
    <col width="14.375" bestFit="1" customWidth="1" style="96" min="17" max="17"/>
    <col width="9.125" bestFit="1" customWidth="1" style="96" min="18" max="18"/>
    <col width="11.875" bestFit="1" customWidth="1" style="96" min="19" max="19"/>
    <col width="9.5" bestFit="1" customWidth="1" style="96" min="20" max="20"/>
    <col width="15.25" bestFit="1" customWidth="1" style="96" min="21" max="21"/>
    <col width="11.375" bestFit="1" customWidth="1" style="96" min="22" max="22"/>
    <col width="69.625" bestFit="1" customWidth="1" style="96" min="24" max="24"/>
    <col width="14.375" bestFit="1" customWidth="1" style="96" min="25" max="25"/>
    <col width="13.5" bestFit="1" customWidth="1" style="96" min="26" max="26"/>
    <col width="7.5" bestFit="1" customWidth="1" style="96" min="27" max="27"/>
    <col width="14.75" bestFit="1" customWidth="1" style="96" min="28" max="29"/>
    <col width="11.375" bestFit="1" customWidth="1" style="96" min="30" max="30"/>
    <col width="7.125" bestFit="1" customWidth="1" style="96" min="31" max="31"/>
    <col width="14.625" bestFit="1" customWidth="1" style="96" min="32" max="32"/>
  </cols>
  <sheetData>
    <row r="1" ht="16.5" customFormat="1" customHeight="1" s="1">
      <c r="A1" s="58" t="inlineStr">
        <is>
          <t>Plasmid Construction</t>
        </is>
      </c>
      <c r="B1" s="58" t="inlineStr">
        <is>
          <t>Project No.</t>
        </is>
      </c>
      <c r="C1" s="58" t="inlineStr">
        <is>
          <t>Sub. No.</t>
        </is>
      </c>
      <c r="D1" s="59" t="inlineStr">
        <is>
          <t>Method</t>
        </is>
      </c>
      <c r="E1" s="58" t="inlineStr">
        <is>
          <t>Plasmid map</t>
        </is>
      </c>
      <c r="F1" s="58" t="inlineStr">
        <is>
          <t>Length</t>
        </is>
      </c>
      <c r="G1" s="59" t="inlineStr">
        <is>
          <t>Plasmid name</t>
        </is>
      </c>
      <c r="H1" s="58" t="inlineStr">
        <is>
          <t>RE1</t>
        </is>
      </c>
      <c r="I1" s="58" t="inlineStr">
        <is>
          <t>RE2</t>
        </is>
      </c>
      <c r="J1" s="59" t="inlineStr">
        <is>
          <t>Backbone plasmid/gDNA</t>
        </is>
      </c>
      <c r="K1" s="58" t="inlineStr">
        <is>
          <t>Backbone prep.</t>
        </is>
      </c>
      <c r="L1" s="58" t="inlineStr">
        <is>
          <t>Length (bp)</t>
        </is>
      </c>
      <c r="M1" s="58" t="inlineStr">
        <is>
          <t>PCR primer/Oligo 1</t>
        </is>
      </c>
      <c r="N1" s="58" t="inlineStr">
        <is>
          <t>PCR primer/Oligo 2</t>
        </is>
      </c>
      <c r="O1" s="58" t="inlineStr">
        <is>
          <t>Template</t>
        </is>
      </c>
      <c r="P1" s="58" t="inlineStr">
        <is>
          <t>Length (bp)</t>
        </is>
      </c>
      <c r="Q1" s="58" t="inlineStr">
        <is>
          <t>PCR/Annealing</t>
        </is>
      </c>
      <c r="R1" s="58" t="inlineStr">
        <is>
          <t>DpnI</t>
        </is>
      </c>
      <c r="S1" s="58" t="inlineStr">
        <is>
          <t>Transformation</t>
        </is>
      </c>
      <c r="T1" s="58" t="inlineStr">
        <is>
          <t>Miniprep</t>
        </is>
      </c>
      <c r="U1" s="58" t="inlineStr">
        <is>
          <t>Plasmid Ext.</t>
        </is>
      </c>
      <c r="V1" s="58" t="inlineStr">
        <is>
          <t>Nanopore</t>
        </is>
      </c>
      <c r="W1" s="58" t="inlineStr">
        <is>
          <t>Sequence check</t>
        </is>
      </c>
      <c r="X1" s="58" t="inlineStr">
        <is>
          <t>Plasmid No.</t>
        </is>
      </c>
      <c r="Y1" s="58" t="inlineStr">
        <is>
          <t>Plasmid name</t>
        </is>
      </c>
      <c r="Z1" s="58" t="inlineStr">
        <is>
          <t>Competent cell</t>
        </is>
      </c>
      <c r="AA1" s="58" t="inlineStr">
        <is>
          <t>Conc</t>
        </is>
      </c>
      <c r="AB1" s="58" t="inlineStr">
        <is>
          <t>Design</t>
        </is>
      </c>
      <c r="AC1" s="58" t="inlineStr">
        <is>
          <t>Order</t>
        </is>
      </c>
      <c r="AD1" s="58" t="inlineStr">
        <is>
          <t>Obtained</t>
        </is>
      </c>
      <c r="AE1" s="58" t="inlineStr">
        <is>
          <t>Made by</t>
        </is>
      </c>
      <c r="AF1" s="58" t="inlineStr">
        <is>
          <t>Entered by</t>
        </is>
      </c>
      <c r="AG1" s="58" t="inlineStr">
        <is>
          <t>Project number</t>
        </is>
      </c>
    </row>
    <row r="2" ht="16.5" customFormat="1" customHeight="1" s="1">
      <c r="C2" s="98" t="n"/>
      <c r="E2" s="56" t="n"/>
      <c r="K2" s="56" t="n"/>
      <c r="Q2" s="56" t="n"/>
      <c r="R2" s="56" t="n"/>
      <c r="S2" s="56" t="n"/>
      <c r="T2" s="56" t="n"/>
      <c r="U2" s="56" t="n"/>
      <c r="V2" s="56" t="n"/>
      <c r="W2" s="56" t="n"/>
      <c r="Y2" s="57" t="n"/>
      <c r="Z2" s="61" t="n"/>
      <c r="AA2" s="61" t="n"/>
      <c r="AB2" s="62" t="n"/>
      <c r="AC2" s="62" t="n"/>
      <c r="AD2" s="62" t="n"/>
      <c r="AF2" s="61" t="n"/>
      <c r="AG2" s="61" t="n"/>
    </row>
    <row r="3" ht="16.5" customFormat="1" customHeight="1" s="1">
      <c r="C3" s="98" t="n"/>
      <c r="E3" s="56" t="n"/>
      <c r="K3" s="56" t="n"/>
      <c r="Q3" s="56" t="n"/>
      <c r="R3" s="56" t="n"/>
      <c r="S3" s="56" t="n"/>
      <c r="T3" s="56" t="n"/>
      <c r="U3" s="56" t="n"/>
      <c r="V3" s="56" t="n"/>
      <c r="W3" s="56" t="n"/>
      <c r="Y3" s="57" t="n"/>
      <c r="Z3" s="61" t="n"/>
      <c r="AA3" s="61" t="n"/>
      <c r="AB3" s="62" t="n"/>
      <c r="AC3" s="62" t="n"/>
      <c r="AD3" s="62" t="n"/>
      <c r="AF3" s="61" t="n"/>
      <c r="AG3" s="61" t="n"/>
    </row>
    <row r="4" ht="16.5" customFormat="1" customHeight="1" s="1">
      <c r="C4" s="98" t="n"/>
      <c r="E4" s="56" t="n"/>
      <c r="K4" s="56" t="n"/>
      <c r="L4" s="1" t="n"/>
      <c r="Q4" s="56" t="n"/>
      <c r="R4" s="56" t="n"/>
      <c r="S4" s="56" t="n"/>
      <c r="T4" s="56" t="n"/>
      <c r="U4" s="56" t="n"/>
      <c r="V4" s="56" t="n"/>
      <c r="W4" s="56" t="n"/>
      <c r="Y4" s="57" t="n"/>
      <c r="Z4" s="61" t="n"/>
      <c r="AA4" s="61" t="n"/>
      <c r="AB4" s="62" t="n"/>
      <c r="AC4" s="62" t="n"/>
      <c r="AD4" s="62" t="n"/>
      <c r="AF4" s="61" t="n"/>
      <c r="AG4" s="61" t="n"/>
    </row>
    <row r="5" ht="16.5" customFormat="1" customHeight="1" s="1">
      <c r="C5" s="99" t="n"/>
    </row>
    <row r="6" ht="16.5" customFormat="1" customHeight="1" s="1">
      <c r="C6" s="99" t="n"/>
    </row>
    <row r="7" ht="16.5" customFormat="1" customHeight="1" s="1">
      <c r="C7" s="99" t="n"/>
    </row>
    <row r="8" ht="16.5" customFormat="1" customHeight="1" s="1">
      <c r="C8" s="99" t="n"/>
    </row>
    <row r="9" ht="16.5" customFormat="1" customHeight="1" s="1">
      <c r="C9" s="99" t="n"/>
    </row>
    <row r="10" ht="16.5" customFormat="1" customHeight="1" s="1">
      <c r="C10" s="99" t="n"/>
    </row>
    <row r="11">
      <c r="C11" s="99" t="n"/>
    </row>
    <row r="12">
      <c r="C12" s="99" t="n"/>
    </row>
    <row r="13">
      <c r="C13" s="99" t="n"/>
    </row>
  </sheetData>
  <conditionalFormatting sqref="A2:A4 H2:L4 S2:AG4">
    <cfRule type="expression" priority="3" dxfId="0">
      <formula>$C2=""</formula>
    </cfRule>
  </conditionalFormatting>
  <conditionalFormatting sqref="A2:AG4">
    <cfRule type="expression" priority="1" dxfId="2">
      <formula>COUNTA($W2)=1</formula>
    </cfRule>
  </conditionalFormatting>
  <conditionalFormatting sqref="H2:I4 K2:L4 O2:P4 R2:R4">
    <cfRule type="expression" priority="2" dxfId="0">
      <formula>$D2="GGA"</formula>
    </cfRule>
  </conditionalFormatting>
  <conditionalFormatting sqref="R2:R4">
    <cfRule type="expression" priority="4" dxfId="0">
      <formula>LEFT($O2,1)&lt;&gt;"V"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N41"/>
  <sheetViews>
    <sheetView tabSelected="0" zoomScale="70" zoomScaleNormal="70" workbookViewId="0">
      <selection activeCell="A1" sqref="A1"/>
    </sheetView>
  </sheetViews>
  <sheetFormatPr baseColWidth="8" defaultRowHeight="18.75"/>
  <cols>
    <col width="4.625" customWidth="1" style="96" min="1" max="1"/>
    <col width="22.625" customWidth="1" style="96" min="2" max="2"/>
    <col width="16.625" customWidth="1" style="96" min="3" max="3"/>
    <col width="12.625" customWidth="1" style="96" min="4" max="5"/>
    <col width="8.625" customWidth="1" style="96" min="6" max="6"/>
    <col width="13.625" customWidth="1" style="96" min="7" max="8"/>
    <col width="10.625" customWidth="1" style="96" min="9" max="10"/>
    <col width="9.625" customWidth="1" style="96" min="11" max="12"/>
    <col width="11.625" customWidth="1" style="96" min="13" max="13"/>
    <col width="13.625" customWidth="1" style="96" min="14" max="14"/>
    <col width="2" customWidth="1" style="96" min="15" max="15"/>
    <col width="13.625" customWidth="1" style="96" min="16" max="16"/>
    <col width="11.375" customWidth="1" style="96" min="17" max="17"/>
    <col width="10.75" customWidth="1" style="96" min="18" max="18"/>
    <col width="12.75" customWidth="1" style="96" min="20" max="21"/>
  </cols>
  <sheetData>
    <row r="1">
      <c r="A1" s="100">
        <f>TODAY()</f>
        <v/>
      </c>
      <c r="C1" s="2" t="inlineStr">
        <is>
          <t>Cloning with HiFi assembly</t>
        </is>
      </c>
    </row>
    <row r="2"/>
    <row r="3">
      <c r="A3" s="63" t="inlineStr">
        <is>
          <t>1. Restriction digestion of the backbone</t>
        </is>
      </c>
    </row>
    <row r="4">
      <c r="A4" s="93" t="inlineStr">
        <is>
          <t>□</t>
        </is>
      </c>
      <c r="B4" s="0" t="inlineStr">
        <is>
          <t>Thaw the backbone plasmid and 10×CutSmart at room temperature</t>
        </is>
      </c>
    </row>
    <row r="5"/>
    <row r="6">
      <c r="B6" s="2" t="inlineStr">
        <is>
          <t>Samples to digest</t>
        </is>
      </c>
      <c r="C6" s="64">
        <f>COUNTIF($F$14:$F$25,"RE")</f>
        <v/>
      </c>
      <c r="D6" s="65" t="inlineStr">
        <is>
          <t>samples</t>
        </is>
      </c>
    </row>
    <row r="7">
      <c r="B7" s="2" t="inlineStr">
        <is>
          <t>Samples prepared by PCR</t>
        </is>
      </c>
      <c r="C7" s="64">
        <f>COUNTIF($F$14:$F$25,"PCR")</f>
        <v/>
      </c>
      <c r="D7" s="65" t="inlineStr">
        <is>
          <t>samples</t>
        </is>
      </c>
    </row>
    <row r="8">
      <c r="B8" s="2" t="inlineStr">
        <is>
          <t>Total volume per reaction</t>
        </is>
      </c>
      <c r="C8" s="64" t="n">
        <v>50</v>
      </c>
      <c r="D8" s="65" t="inlineStr">
        <is>
          <t>uL</t>
        </is>
      </c>
    </row>
    <row r="9">
      <c r="B9" s="2" t="inlineStr">
        <is>
          <t>Plasmid DNA</t>
        </is>
      </c>
      <c r="C9" s="64" t="n">
        <v>10</v>
      </c>
      <c r="D9" s="65" t="inlineStr">
        <is>
          <t>uL/sample</t>
        </is>
      </c>
    </row>
    <row r="10">
      <c r="B10" s="2" t="inlineStr">
        <is>
          <t>Column purification</t>
        </is>
      </c>
      <c r="C10" s="64" t="inlineStr">
        <is>
          <t>Yes</t>
        </is>
      </c>
      <c r="D10" s="65" t="n"/>
      <c r="E10" s="66" t="inlineStr">
        <is>
          <t>No heat inactivation is needed when this is Yes</t>
        </is>
      </c>
    </row>
    <row r="11"/>
    <row r="12">
      <c r="B12" s="2" t="inlineStr">
        <is>
          <t>• Reaction mix per sample</t>
        </is>
      </c>
    </row>
    <row r="13" ht="36" customHeight="1" s="96">
      <c r="A13" s="68" t="n"/>
      <c r="B13" s="68" t="inlineStr">
        <is>
          <t>Sub. No.</t>
        </is>
      </c>
      <c r="C13" s="68" t="inlineStr">
        <is>
          <t>Backbone</t>
        </is>
      </c>
      <c r="D13" s="68" t="inlineStr">
        <is>
          <t>RE1</t>
        </is>
      </c>
      <c r="E13" s="68" t="inlineStr">
        <is>
          <t>RE2</t>
        </is>
      </c>
      <c r="F13" s="68" t="inlineStr">
        <is>
          <t>Prep</t>
        </is>
      </c>
      <c r="G13" s="68" t="inlineStr">
        <is>
          <t>Plasmid DNA</t>
        </is>
      </c>
      <c r="H13" s="68" t="inlineStr">
        <is>
          <t>10×CutSmart</t>
        </is>
      </c>
      <c r="I13" s="68" t="inlineStr">
        <is>
          <t>RE1 (uL)</t>
        </is>
      </c>
      <c r="J13" s="68" t="inlineStr">
        <is>
          <t>RE2 (uL)</t>
        </is>
      </c>
      <c r="K13" s="68" t="inlineStr">
        <is>
          <t>H2O</t>
        </is>
      </c>
      <c r="L13" s="68" t="inlineStr">
        <is>
          <t>Total</t>
        </is>
      </c>
      <c r="M13" s="68" t="inlineStr">
        <is>
          <t>Reaction temp.</t>
        </is>
      </c>
      <c r="N13" s="68" t="inlineStr">
        <is>
          <t>Heat inactivation</t>
        </is>
      </c>
    </row>
    <row r="14">
      <c r="A14" s="95">
        <f>IF($F14="RE","□","")</f>
        <v/>
      </c>
      <c r="B14" s="95">
        <f>IF(Data!C2="","",Data!C2)</f>
        <v/>
      </c>
      <c r="C14" s="69">
        <f>IF(Data!C2="","",Data!J2)</f>
        <v/>
      </c>
      <c r="D14" s="95">
        <f>IF(Data!C2="","",Data!H2)</f>
        <v/>
      </c>
      <c r="E14" s="95">
        <f>IF(Data!C2="","",IF(Data!I2="","",Data!I2))</f>
        <v/>
      </c>
      <c r="F14" s="95">
        <f>IF(OR(Data!C2="",Data!H2=""),"",IF(ISNA(MATCH(Data!H2,RElist!$A$4:$A$650,0)),"PCR","RE"))</f>
        <v/>
      </c>
      <c r="G14" s="95">
        <f>IF($F14&lt;&gt;"RE","",$C$9)</f>
        <v/>
      </c>
      <c r="H14" s="95">
        <f>IF($F14&lt;&gt;"RE","",$C$8/10)</f>
        <v/>
      </c>
      <c r="I14" s="95">
        <f>IF($F14&lt;&gt;"RE","",IF(D14="",0,$C$8/25))</f>
        <v/>
      </c>
      <c r="J14" s="95">
        <f>IF($F14&lt;&gt;"RE","",IF(E14="",0,$C$8/25))</f>
        <v/>
      </c>
      <c r="K14" s="95">
        <f>IF($F14&lt;&gt;"RE","",$C$8-G14-H14-I14-J14)</f>
        <v/>
      </c>
      <c r="L14" s="95">
        <f>IF($F14&lt;&gt;"RE","",SUM(G14:K14))</f>
        <v/>
      </c>
      <c r="M14" s="95">
        <f>IF($F14&lt;&gt;"RE","",IFERROR(IF(E14="",VLOOKUP(D14,RElist!$A$4:$D$650,3,FALSE),IF(VLOOKUP(D14,RElist!$A$4:$D$650,3,FALSE)=VLOOKUP(E14,RElist!$A$4:$D$650,3,FALSE),VLOOKUP(D14,RElist!$A$4:$D$650,3,FALSE),"Check conditions")),"Check"))</f>
        <v/>
      </c>
      <c r="N14" s="95">
        <f>IF($F14&lt;&gt;"RE","",IF($C$10="Yes","Not needed",IFERROR(IF(IF(E14="",VLOOKUP(D14,RElist!$A$4:$D$650,4,FALSE)="No",OR(VLOOKUP(D14,RElist!$A$4:$D$650,4,FALSE)="No",VLOOKUP(E14,RElist!$A$4:$D$650,4,FALSE)="No")),"Not possible","Possible"),"Check")))</f>
        <v/>
      </c>
    </row>
    <row r="15">
      <c r="A15" s="95">
        <f>IF($F15="RE","□","")</f>
        <v/>
      </c>
      <c r="B15" s="95">
        <f>IF(Data!C3="","",Data!C3)</f>
        <v/>
      </c>
      <c r="C15" s="69">
        <f>IF(Data!C3="","",Data!J3)</f>
        <v/>
      </c>
      <c r="D15" s="95">
        <f>IF(Data!C3="","",Data!H3)</f>
        <v/>
      </c>
      <c r="E15" s="95">
        <f>IF(Data!C3="","",IF(Data!I3="","",Data!I3))</f>
        <v/>
      </c>
      <c r="F15" s="95">
        <f>IF(OR(Data!C3="",Data!H3=""),"",IF(ISNA(MATCH(Data!H3,RElist!$A$4:$A$650,0)),"PCR","RE"))</f>
        <v/>
      </c>
      <c r="G15" s="95">
        <f>IF($F15&lt;&gt;"RE","",$C$9)</f>
        <v/>
      </c>
      <c r="H15" s="95">
        <f>IF($F15&lt;&gt;"RE","",$C$8/10)</f>
        <v/>
      </c>
      <c r="I15" s="95">
        <f>IF($F15&lt;&gt;"RE","",IF(D15="",0,$C$8/25))</f>
        <v/>
      </c>
      <c r="J15" s="95">
        <f>IF($F15&lt;&gt;"RE","",IF(E15="",0,$C$8/25))</f>
        <v/>
      </c>
      <c r="K15" s="95">
        <f>IF($F15&lt;&gt;"RE","",$C$8-G15-H15-I15-J15)</f>
        <v/>
      </c>
      <c r="L15" s="95">
        <f>IF($F15&lt;&gt;"RE","",SUM(G15:K15))</f>
        <v/>
      </c>
      <c r="M15" s="95">
        <f>IF($F15&lt;&gt;"RE","",IFERROR(IF(E15="",VLOOKUP(D15,RElist!$A$4:$D$650,3,FALSE),IF(VLOOKUP(D15,RElist!$A$4:$D$650,3,FALSE)=VLOOKUP(E15,RElist!$A$4:$D$650,3,FALSE),VLOOKUP(D15,RElist!$A$4:$D$650,3,FALSE),"Check conditions")),"Check"))</f>
        <v/>
      </c>
      <c r="N15" s="95">
        <f>IF($F15&lt;&gt;"RE","",IF($C$10="Yes","Not needed",IFERROR(IF(IF(E15="",VLOOKUP(D15,RElist!$A$4:$D$650,4,FALSE)="No",OR(VLOOKUP(D15,RElist!$A$4:$D$650,4,FALSE)="No",VLOOKUP(E15,RElist!$A$4:$D$650,4,FALSE)="No")),"Not possible","Possible"),"Check")))</f>
        <v/>
      </c>
    </row>
    <row r="16">
      <c r="A16" s="95">
        <f>IF($F16="RE","□","")</f>
        <v/>
      </c>
      <c r="B16" s="95">
        <f>IF(Data!C4="","",Data!C4)</f>
        <v/>
      </c>
      <c r="C16" s="69">
        <f>IF(Data!C4="","",Data!J4)</f>
        <v/>
      </c>
      <c r="D16" s="95">
        <f>IF(Data!C4="","",Data!H4)</f>
        <v/>
      </c>
      <c r="E16" s="95">
        <f>IF(Data!C4="","",IF(Data!I4="","",Data!I4))</f>
        <v/>
      </c>
      <c r="F16" s="95">
        <f>IF(OR(Data!C4="",Data!H4=""),"",IF(ISNA(MATCH(Data!H4,RElist!$A$4:$A$650,0)),"PCR","RE"))</f>
        <v/>
      </c>
      <c r="G16" s="95">
        <f>IF($F16&lt;&gt;"RE","",$C$9)</f>
        <v/>
      </c>
      <c r="H16" s="95">
        <f>IF($F16&lt;&gt;"RE","",$C$8/10)</f>
        <v/>
      </c>
      <c r="I16" s="95">
        <f>IF($F16&lt;&gt;"RE","",IF(D16="",0,$C$8/25))</f>
        <v/>
      </c>
      <c r="J16" s="95">
        <f>IF($F16&lt;&gt;"RE","",IF(E16="",0,$C$8/25))</f>
        <v/>
      </c>
      <c r="K16" s="95">
        <f>IF($F16&lt;&gt;"RE","",$C$8-G16-H16-I16-J16)</f>
        <v/>
      </c>
      <c r="L16" s="95">
        <f>IF($F16&lt;&gt;"RE","",SUM(G16:K16))</f>
        <v/>
      </c>
      <c r="M16" s="95">
        <f>IF($F16&lt;&gt;"RE","",IFERROR(IF(E16="",VLOOKUP(D16,RElist!$A$4:$D$650,3,FALSE),IF(VLOOKUP(D16,RElist!$A$4:$D$650,3,FALSE)=VLOOKUP(E16,RElist!$A$4:$D$650,3,FALSE),VLOOKUP(D16,RElist!$A$4:$D$650,3,FALSE),"Check conditions")),"Check"))</f>
        <v/>
      </c>
      <c r="N16" s="95">
        <f>IF($F16&lt;&gt;"RE","",IF($C$10="Yes","Not needed",IFERROR(IF(IF(E16="",VLOOKUP(D16,RElist!$A$4:$D$650,4,FALSE)="No",OR(VLOOKUP(D16,RElist!$A$4:$D$650,4,FALSE)="No",VLOOKUP(E16,RElist!$A$4:$D$650,4,FALSE)="No")),"Not possible","Possible"),"Check")))</f>
        <v/>
      </c>
    </row>
    <row r="17">
      <c r="A17" s="95">
        <f>IF($F17="RE","□","")</f>
        <v/>
      </c>
      <c r="B17" s="95">
        <f>IF(Data!C5="","",Data!C5)</f>
        <v/>
      </c>
      <c r="C17" s="69">
        <f>IF(Data!C5="","",Data!J5)</f>
        <v/>
      </c>
      <c r="D17" s="95">
        <f>IF(Data!C5="","",Data!H5)</f>
        <v/>
      </c>
      <c r="E17" s="95">
        <f>IF(Data!C5="","",IF(Data!I5="","",Data!I5))</f>
        <v/>
      </c>
      <c r="F17" s="95">
        <f>IF(OR(Data!C5="",Data!H5=""),"",IF(ISNA(MATCH(Data!H5,RElist!$A$4:$A$650,0)),"PCR","RE"))</f>
        <v/>
      </c>
      <c r="G17" s="95">
        <f>IF($F17&lt;&gt;"RE","",$C$9)</f>
        <v/>
      </c>
      <c r="H17" s="95">
        <f>IF($F17&lt;&gt;"RE","",$C$8/10)</f>
        <v/>
      </c>
      <c r="I17" s="95">
        <f>IF($F17&lt;&gt;"RE","",IF(D17="",0,$C$8/25))</f>
        <v/>
      </c>
      <c r="J17" s="95">
        <f>IF($F17&lt;&gt;"RE","",IF(E17="",0,$C$8/25))</f>
        <v/>
      </c>
      <c r="K17" s="95">
        <f>IF($F17&lt;&gt;"RE","",$C$8-G17-H17-I17-J17)</f>
        <v/>
      </c>
      <c r="L17" s="95">
        <f>IF($F17&lt;&gt;"RE","",SUM(G17:K17))</f>
        <v/>
      </c>
      <c r="M17" s="95">
        <f>IF($F17&lt;&gt;"RE","",IFERROR(IF(E17="",VLOOKUP(D17,RElist!$A$4:$D$650,3,FALSE),IF(VLOOKUP(D17,RElist!$A$4:$D$650,3,FALSE)=VLOOKUP(E17,RElist!$A$4:$D$650,3,FALSE),VLOOKUP(D17,RElist!$A$4:$D$650,3,FALSE),"Check conditions")),"Check"))</f>
        <v/>
      </c>
      <c r="N17" s="95">
        <f>IF($F17&lt;&gt;"RE","",IF($C$10="Yes","Not needed",IFERROR(IF(IF(E17="",VLOOKUP(D17,RElist!$A$4:$D$650,4,FALSE)="No",OR(VLOOKUP(D17,RElist!$A$4:$D$650,4,FALSE)="No",VLOOKUP(E17,RElist!$A$4:$D$650,4,FALSE)="No")),"Not possible","Possible"),"Check")))</f>
        <v/>
      </c>
    </row>
    <row r="18">
      <c r="A18" s="95">
        <f>IF($F18="RE","□","")</f>
        <v/>
      </c>
      <c r="B18" s="95">
        <f>IF(Data!C6="","",Data!C6)</f>
        <v/>
      </c>
      <c r="C18" s="69">
        <f>IF(Data!C6="","",Data!J6)</f>
        <v/>
      </c>
      <c r="D18" s="95">
        <f>IF(Data!C6="","",Data!H6)</f>
        <v/>
      </c>
      <c r="E18" s="95">
        <f>IF(Data!C6="","",IF(Data!I6="","",Data!I6))</f>
        <v/>
      </c>
      <c r="F18" s="95">
        <f>IF(OR(Data!C6="",Data!H6=""),"",IF(ISNA(MATCH(Data!H6,RElist!$A$4:$A$650,0)),"PCR","RE"))</f>
        <v/>
      </c>
      <c r="G18" s="95">
        <f>IF($F18&lt;&gt;"RE","",$C$9)</f>
        <v/>
      </c>
      <c r="H18" s="95">
        <f>IF($F18&lt;&gt;"RE","",$C$8/10)</f>
        <v/>
      </c>
      <c r="I18" s="95">
        <f>IF($F18&lt;&gt;"RE","",IF(D18="",0,$C$8/25))</f>
        <v/>
      </c>
      <c r="J18" s="95">
        <f>IF($F18&lt;&gt;"RE","",IF(E18="",0,$C$8/25))</f>
        <v/>
      </c>
      <c r="K18" s="95">
        <f>IF($F18&lt;&gt;"RE","",$C$8-G18-H18-I18-J18)</f>
        <v/>
      </c>
      <c r="L18" s="95">
        <f>IF($F18&lt;&gt;"RE","",SUM(G18:K18))</f>
        <v/>
      </c>
      <c r="M18" s="95">
        <f>IF($F18&lt;&gt;"RE","",IFERROR(IF(E18="",VLOOKUP(D18,RElist!$A$4:$D$650,3,FALSE),IF(VLOOKUP(D18,RElist!$A$4:$D$650,3,FALSE)=VLOOKUP(E18,RElist!$A$4:$D$650,3,FALSE),VLOOKUP(D18,RElist!$A$4:$D$650,3,FALSE),"Check conditions")),"Check"))</f>
        <v/>
      </c>
      <c r="N18" s="95">
        <f>IF($F18&lt;&gt;"RE","",IF($C$10="Yes","Not needed",IFERROR(IF(IF(E18="",VLOOKUP(D18,RElist!$A$4:$D$650,4,FALSE)="No",OR(VLOOKUP(D18,RElist!$A$4:$D$650,4,FALSE)="No",VLOOKUP(E18,RElist!$A$4:$D$650,4,FALSE)="No")),"Not possible","Possible"),"Check")))</f>
        <v/>
      </c>
    </row>
    <row r="19">
      <c r="A19" s="95">
        <f>IF($F19="RE","□","")</f>
        <v/>
      </c>
      <c r="B19" s="95">
        <f>IF(Data!C7="","",Data!C7)</f>
        <v/>
      </c>
      <c r="C19" s="69">
        <f>IF(Data!C7="","",Data!J7)</f>
        <v/>
      </c>
      <c r="D19" s="95">
        <f>IF(Data!C7="","",Data!H7)</f>
        <v/>
      </c>
      <c r="E19" s="95">
        <f>IF(Data!C7="","",IF(Data!I7="","",Data!I7))</f>
        <v/>
      </c>
      <c r="F19" s="95">
        <f>IF(OR(Data!C7="",Data!H7=""),"",IF(ISNA(MATCH(Data!H7,RElist!$A$4:$A$650,0)),"PCR","RE"))</f>
        <v/>
      </c>
      <c r="G19" s="95">
        <f>IF($F19&lt;&gt;"RE","",$C$9)</f>
        <v/>
      </c>
      <c r="H19" s="95">
        <f>IF($F19&lt;&gt;"RE","",$C$8/10)</f>
        <v/>
      </c>
      <c r="I19" s="95">
        <f>IF($F19&lt;&gt;"RE","",IF(D19="",0,$C$8/25))</f>
        <v/>
      </c>
      <c r="J19" s="95">
        <f>IF($F19&lt;&gt;"RE","",IF(E19="",0,$C$8/25))</f>
        <v/>
      </c>
      <c r="K19" s="95">
        <f>IF($F19&lt;&gt;"RE","",$C$8-G19-H19-I19-J19)</f>
        <v/>
      </c>
      <c r="L19" s="95">
        <f>IF($F19&lt;&gt;"RE","",SUM(G19:K19))</f>
        <v/>
      </c>
      <c r="M19" s="95">
        <f>IF($F19&lt;&gt;"RE","",IFERROR(IF(E19="",VLOOKUP(D19,RElist!$A$4:$D$650,3,FALSE),IF(VLOOKUP(D19,RElist!$A$4:$D$650,3,FALSE)=VLOOKUP(E19,RElist!$A$4:$D$650,3,FALSE),VLOOKUP(D19,RElist!$A$4:$D$650,3,FALSE),"Check conditions")),"Check"))</f>
        <v/>
      </c>
      <c r="N19" s="95">
        <f>IF($F19&lt;&gt;"RE","",IF($C$10="Yes","Not needed",IFERROR(IF(IF(E19="",VLOOKUP(D19,RElist!$A$4:$D$650,4,FALSE)="No",OR(VLOOKUP(D19,RElist!$A$4:$D$650,4,FALSE)="No",VLOOKUP(E19,RElist!$A$4:$D$650,4,FALSE)="No")),"Not possible","Possible"),"Check")))</f>
        <v/>
      </c>
    </row>
    <row r="20">
      <c r="A20" s="95">
        <f>IF($F20="RE","□","")</f>
        <v/>
      </c>
      <c r="B20" s="95">
        <f>IF(Data!C8="","",Data!C8)</f>
        <v/>
      </c>
      <c r="C20" s="69">
        <f>IF(Data!C8="","",Data!J8)</f>
        <v/>
      </c>
      <c r="D20" s="95">
        <f>IF(Data!C8="","",Data!H8)</f>
        <v/>
      </c>
      <c r="E20" s="95">
        <f>IF(Data!C8="","",IF(Data!I8="","",Data!I8))</f>
        <v/>
      </c>
      <c r="F20" s="95">
        <f>IF(OR(Data!C8="",Data!H8=""),"",IF(ISNA(MATCH(Data!H8,RElist!$A$4:$A$650,0)),"PCR","RE"))</f>
        <v/>
      </c>
      <c r="G20" s="95">
        <f>IF($F20&lt;&gt;"RE","",$C$9)</f>
        <v/>
      </c>
      <c r="H20" s="95">
        <f>IF($F20&lt;&gt;"RE","",$C$8/10)</f>
        <v/>
      </c>
      <c r="I20" s="95">
        <f>IF($F20&lt;&gt;"RE","",IF(D20="",0,$C$8/25))</f>
        <v/>
      </c>
      <c r="J20" s="95">
        <f>IF($F20&lt;&gt;"RE","",IF(E20="",0,$C$8/25))</f>
        <v/>
      </c>
      <c r="K20" s="95">
        <f>IF($F20&lt;&gt;"RE","",$C$8-G20-H20-I20-J20)</f>
        <v/>
      </c>
      <c r="L20" s="95">
        <f>IF($F20&lt;&gt;"RE","",SUM(G20:K20))</f>
        <v/>
      </c>
      <c r="M20" s="95">
        <f>IF($F20&lt;&gt;"RE","",IFERROR(IF(E20="",VLOOKUP(D20,RElist!$A$4:$D$650,3,FALSE),IF(VLOOKUP(D20,RElist!$A$4:$D$650,3,FALSE)=VLOOKUP(E20,RElist!$A$4:$D$650,3,FALSE),VLOOKUP(D20,RElist!$A$4:$D$650,3,FALSE),"Check conditions")),"Check"))</f>
        <v/>
      </c>
      <c r="N20" s="95">
        <f>IF($F20&lt;&gt;"RE","",IF($C$10="Yes","Not needed",IFERROR(IF(IF(E20="",VLOOKUP(D20,RElist!$A$4:$D$650,4,FALSE)="No",OR(VLOOKUP(D20,RElist!$A$4:$D$650,4,FALSE)="No",VLOOKUP(E20,RElist!$A$4:$D$650,4,FALSE)="No")),"Not possible","Possible"),"Check")))</f>
        <v/>
      </c>
    </row>
    <row r="21">
      <c r="A21" s="95">
        <f>IF($F21="RE","□","")</f>
        <v/>
      </c>
      <c r="B21" s="95">
        <f>IF(Data!C9="","",Data!C9)</f>
        <v/>
      </c>
      <c r="C21" s="69">
        <f>IF(Data!C9="","",Data!J9)</f>
        <v/>
      </c>
      <c r="D21" s="95">
        <f>IF(Data!C9="","",Data!H9)</f>
        <v/>
      </c>
      <c r="E21" s="95">
        <f>IF(Data!C9="","",IF(Data!I9="","",Data!I9))</f>
        <v/>
      </c>
      <c r="F21" s="95">
        <f>IF(OR(Data!C9="",Data!H9=""),"",IF(ISNA(MATCH(Data!H9,RElist!$A$4:$A$650,0)),"PCR","RE"))</f>
        <v/>
      </c>
      <c r="G21" s="95">
        <f>IF($F21&lt;&gt;"RE","",$C$9)</f>
        <v/>
      </c>
      <c r="H21" s="95">
        <f>IF($F21&lt;&gt;"RE","",$C$8/10)</f>
        <v/>
      </c>
      <c r="I21" s="95">
        <f>IF($F21&lt;&gt;"RE","",IF(D21="",0,$C$8/25))</f>
        <v/>
      </c>
      <c r="J21" s="95">
        <f>IF($F21&lt;&gt;"RE","",IF(E21="",0,$C$8/25))</f>
        <v/>
      </c>
      <c r="K21" s="95">
        <f>IF($F21&lt;&gt;"RE","",$C$8-G21-H21-I21-J21)</f>
        <v/>
      </c>
      <c r="L21" s="95">
        <f>IF($F21&lt;&gt;"RE","",SUM(G21:K21))</f>
        <v/>
      </c>
      <c r="M21" s="95">
        <f>IF($F21&lt;&gt;"RE","",IFERROR(IF(E21="",VLOOKUP(D21,RElist!$A$4:$D$650,3,FALSE),IF(VLOOKUP(D21,RElist!$A$4:$D$650,3,FALSE)=VLOOKUP(E21,RElist!$A$4:$D$650,3,FALSE),VLOOKUP(D21,RElist!$A$4:$D$650,3,FALSE),"Check conditions")),"Check"))</f>
        <v/>
      </c>
      <c r="N21" s="95">
        <f>IF($F21&lt;&gt;"RE","",IF($C$10="Yes","Not needed",IFERROR(IF(IF(E21="",VLOOKUP(D21,RElist!$A$4:$D$650,4,FALSE)="No",OR(VLOOKUP(D21,RElist!$A$4:$D$650,4,FALSE)="No",VLOOKUP(E21,RElist!$A$4:$D$650,4,FALSE)="No")),"Not possible","Possible"),"Check")))</f>
        <v/>
      </c>
    </row>
    <row r="22">
      <c r="A22" s="95">
        <f>IF($F22="RE","□","")</f>
        <v/>
      </c>
      <c r="B22" s="95">
        <f>IF(Data!C10="","",Data!C10)</f>
        <v/>
      </c>
      <c r="C22" s="69">
        <f>IF(Data!C10="","",Data!J10)</f>
        <v/>
      </c>
      <c r="D22" s="95">
        <f>IF(Data!C10="","",Data!H10)</f>
        <v/>
      </c>
      <c r="E22" s="95">
        <f>IF(Data!C10="","",IF(Data!I10="","",Data!I10))</f>
        <v/>
      </c>
      <c r="F22" s="95">
        <f>IF(OR(Data!C10="",Data!H10=""),"",IF(ISNA(MATCH(Data!H10,RElist!$A$4:$A$650,0)),"PCR","RE"))</f>
        <v/>
      </c>
      <c r="G22" s="95">
        <f>IF($F22&lt;&gt;"RE","",$C$9)</f>
        <v/>
      </c>
      <c r="H22" s="95">
        <f>IF($F22&lt;&gt;"RE","",$C$8/10)</f>
        <v/>
      </c>
      <c r="I22" s="95">
        <f>IF($F22&lt;&gt;"RE","",IF(D22="",0,$C$8/25))</f>
        <v/>
      </c>
      <c r="J22" s="95">
        <f>IF($F22&lt;&gt;"RE","",IF(E22="",0,$C$8/25))</f>
        <v/>
      </c>
      <c r="K22" s="95">
        <f>IF($F22&lt;&gt;"RE","",$C$8-G22-H22-I22-J22)</f>
        <v/>
      </c>
      <c r="L22" s="95">
        <f>IF($F22&lt;&gt;"RE","",SUM(G22:K22))</f>
        <v/>
      </c>
      <c r="M22" s="95">
        <f>IF($F22&lt;&gt;"RE","",IFERROR(IF(E22="",VLOOKUP(D22,RElist!$A$4:$D$650,3,FALSE),IF(VLOOKUP(D22,RElist!$A$4:$D$650,3,FALSE)=VLOOKUP(E22,RElist!$A$4:$D$650,3,FALSE),VLOOKUP(D22,RElist!$A$4:$D$650,3,FALSE),"Check conditions")),"Check"))</f>
        <v/>
      </c>
      <c r="N22" s="95">
        <f>IF($F22&lt;&gt;"RE","",IF($C$10="Yes","Not needed",IFERROR(IF(IF(E22="",VLOOKUP(D22,RElist!$A$4:$D$650,4,FALSE)="No",OR(VLOOKUP(D22,RElist!$A$4:$D$650,4,FALSE)="No",VLOOKUP(E22,RElist!$A$4:$D$650,4,FALSE)="No")),"Not possible","Possible"),"Check")))</f>
        <v/>
      </c>
    </row>
    <row r="23">
      <c r="A23" s="95">
        <f>IF($F23="RE","□","")</f>
        <v/>
      </c>
      <c r="B23" s="95">
        <f>IF(Data!C11="","",Data!C11)</f>
        <v/>
      </c>
      <c r="C23" s="69">
        <f>IF(Data!C11="","",Data!J11)</f>
        <v/>
      </c>
      <c r="D23" s="95">
        <f>IF(Data!C11="","",Data!H11)</f>
        <v/>
      </c>
      <c r="E23" s="95">
        <f>IF(Data!C11="","",IF(Data!I11="","",Data!I11))</f>
        <v/>
      </c>
      <c r="F23" s="95">
        <f>IF(OR(Data!C11="",Data!H11=""),"",IF(ISNA(MATCH(Data!H11,RElist!$A$4:$A$650,0)),"PCR","RE"))</f>
        <v/>
      </c>
      <c r="G23" s="95">
        <f>IF($F23&lt;&gt;"RE","",$C$9)</f>
        <v/>
      </c>
      <c r="H23" s="95">
        <f>IF($F23&lt;&gt;"RE","",$C$8/10)</f>
        <v/>
      </c>
      <c r="I23" s="95">
        <f>IF($F23&lt;&gt;"RE","",IF(D23="",0,$C$8/25))</f>
        <v/>
      </c>
      <c r="J23" s="95">
        <f>IF($F23&lt;&gt;"RE","",IF(E23="",0,$C$8/25))</f>
        <v/>
      </c>
      <c r="K23" s="95">
        <f>IF($F23&lt;&gt;"RE","",$C$8-G23-H23-I23-J23)</f>
        <v/>
      </c>
      <c r="L23" s="95">
        <f>IF($F23&lt;&gt;"RE","",SUM(G23:K23))</f>
        <v/>
      </c>
      <c r="M23" s="95">
        <f>IF($F23&lt;&gt;"RE","",IFERROR(IF(E23="",VLOOKUP(D23,RElist!$A$4:$D$650,3,FALSE),IF(VLOOKUP(D23,RElist!$A$4:$D$650,3,FALSE)=VLOOKUP(E23,RElist!$A$4:$D$650,3,FALSE),VLOOKUP(D23,RElist!$A$4:$D$650,3,FALSE),"Check conditions")),"Check"))</f>
        <v/>
      </c>
      <c r="N23" s="95">
        <f>IF($F23&lt;&gt;"RE","",IF($C$10="Yes","Not needed",IFERROR(IF(IF(E23="",VLOOKUP(D23,RElist!$A$4:$D$650,4,FALSE)="No",OR(VLOOKUP(D23,RElist!$A$4:$D$650,4,FALSE)="No",VLOOKUP(E23,RElist!$A$4:$D$650,4,FALSE)="No")),"Not possible","Possible"),"Check")))</f>
        <v/>
      </c>
    </row>
    <row r="24">
      <c r="A24" s="95">
        <f>IF($F24="RE","□","")</f>
        <v/>
      </c>
      <c r="B24" s="95">
        <f>IF(Data!C12="","",Data!C12)</f>
        <v/>
      </c>
      <c r="C24" s="69">
        <f>IF(Data!C12="","",Data!J12)</f>
        <v/>
      </c>
      <c r="D24" s="95">
        <f>IF(Data!C12="","",Data!H12)</f>
        <v/>
      </c>
      <c r="E24" s="95">
        <f>IF(Data!C12="","",IF(Data!I12="","",Data!I12))</f>
        <v/>
      </c>
      <c r="F24" s="95">
        <f>IF(OR(Data!C12="",Data!H12=""),"",IF(ISNA(MATCH(Data!H12,RElist!$A$4:$A$650,0)),"PCR","RE"))</f>
        <v/>
      </c>
      <c r="G24" s="95">
        <f>IF($F24&lt;&gt;"RE","",$C$9)</f>
        <v/>
      </c>
      <c r="H24" s="95">
        <f>IF($F24&lt;&gt;"RE","",$C$8/10)</f>
        <v/>
      </c>
      <c r="I24" s="95">
        <f>IF($F24&lt;&gt;"RE","",IF(D24="",0,$C$8/25))</f>
        <v/>
      </c>
      <c r="J24" s="95">
        <f>IF($F24&lt;&gt;"RE","",IF(E24="",0,$C$8/25))</f>
        <v/>
      </c>
      <c r="K24" s="95">
        <f>IF($F24&lt;&gt;"RE","",$C$8-G24-H24-I24-J24)</f>
        <v/>
      </c>
      <c r="L24" s="95">
        <f>IF($F24&lt;&gt;"RE","",SUM(G24:K24))</f>
        <v/>
      </c>
      <c r="M24" s="95">
        <f>IF($F24&lt;&gt;"RE","",IFERROR(IF(E24="",VLOOKUP(D24,RElist!$A$4:$D$650,3,FALSE),IF(VLOOKUP(D24,RElist!$A$4:$D$650,3,FALSE)=VLOOKUP(E24,RElist!$A$4:$D$650,3,FALSE),VLOOKUP(D24,RElist!$A$4:$D$650,3,FALSE),"Check conditions")),"Check"))</f>
        <v/>
      </c>
      <c r="N24" s="95">
        <f>IF($F24&lt;&gt;"RE","",IF($C$10="Yes","Not needed",IFERROR(IF(IF(E24="",VLOOKUP(D24,RElist!$A$4:$D$650,4,FALSE)="No",OR(VLOOKUP(D24,RElist!$A$4:$D$650,4,FALSE)="No",VLOOKUP(E24,RElist!$A$4:$D$650,4,FALSE)="No")),"Not possible","Possible"),"Check")))</f>
        <v/>
      </c>
    </row>
    <row r="25">
      <c r="A25" s="95">
        <f>IF($F25="RE","□","")</f>
        <v/>
      </c>
      <c r="B25" s="95">
        <f>IF(Data!C13="","",Data!C13)</f>
        <v/>
      </c>
      <c r="C25" s="69">
        <f>IF(Data!C13="","",Data!J13)</f>
        <v/>
      </c>
      <c r="D25" s="95">
        <f>IF(Data!C13="","",Data!H13)</f>
        <v/>
      </c>
      <c r="E25" s="95">
        <f>IF(Data!C13="","",IF(Data!I13="","",Data!I13))</f>
        <v/>
      </c>
      <c r="F25" s="95">
        <f>IF(OR(Data!C13="",Data!H13=""),"",IF(ISNA(MATCH(Data!H13,RElist!$A$4:$A$650,0)),"PCR","RE"))</f>
        <v/>
      </c>
      <c r="G25" s="95">
        <f>IF($F25&lt;&gt;"RE","",$C$9)</f>
        <v/>
      </c>
      <c r="H25" s="95">
        <f>IF($F25&lt;&gt;"RE","",$C$8/10)</f>
        <v/>
      </c>
      <c r="I25" s="95">
        <f>IF($F25&lt;&gt;"RE","",IF(D25="",0,$C$8/25))</f>
        <v/>
      </c>
      <c r="J25" s="95">
        <f>IF($F25&lt;&gt;"RE","",IF(E25="",0,$C$8/25))</f>
        <v/>
      </c>
      <c r="K25" s="95">
        <f>IF($F25&lt;&gt;"RE","",$C$8-G25-H25-I25-J25)</f>
        <v/>
      </c>
      <c r="L25" s="95">
        <f>IF($F25&lt;&gt;"RE","",SUM(G25:K25))</f>
        <v/>
      </c>
      <c r="M25" s="95">
        <f>IF($F25&lt;&gt;"RE","",IFERROR(IF(E25="",VLOOKUP(D25,RElist!$A$4:$D$650,3,FALSE),IF(VLOOKUP(D25,RElist!$A$4:$D$650,3,FALSE)=VLOOKUP(E25,RElist!$A$4:$D$650,3,FALSE),VLOOKUP(D25,RElist!$A$4:$D$650,3,FALSE),"Check conditions")),"Check"))</f>
        <v/>
      </c>
      <c r="N25" s="95">
        <f>IF($F25&lt;&gt;"RE","",IF($C$10="Yes","Not needed",IFERROR(IF(IF(E25="",VLOOKUP(D25,RElist!$A$4:$D$650,4,FALSE)="No",OR(VLOOKUP(D25,RElist!$A$4:$D$650,4,FALSE)="No",VLOOKUP(E25,RElist!$A$4:$D$650,4,FALSE)="No")),"Not possible","Possible"),"Check")))</f>
        <v/>
      </c>
    </row>
    <row r="26"/>
    <row r="27">
      <c r="B27" s="2" t="inlineStr">
        <is>
          <t>• Premix of H2O + 10×CutSmart</t>
        </is>
      </c>
    </row>
    <row r="28">
      <c r="D28" s="2" t="inlineStr">
        <is>
          <t>Mix tubes</t>
        </is>
      </c>
      <c r="E28" s="64">
        <f>IF($C$6=0,0,$C$6+2)</f>
        <v/>
      </c>
      <c r="F28" s="66" t="inlineStr">
        <is>
          <t>tubes (samples + 2)</t>
        </is>
      </c>
    </row>
    <row r="29" ht="36" customHeight="1" s="96">
      <c r="A29" s="67" t="n"/>
      <c r="B29" s="67" t="inlineStr">
        <is>
          <t>Reagent</t>
        </is>
      </c>
      <c r="C29" s="67" t="inlineStr">
        <is>
          <t>Final</t>
        </is>
      </c>
      <c r="D29" s="67" t="inlineStr">
        <is>
          <t>1 sample (uL)</t>
        </is>
      </c>
      <c r="E29" s="67" t="inlineStr">
        <is>
          <t>Mix (uL)</t>
        </is>
      </c>
      <c r="F29" s="67" t="inlineStr">
        <is>
          <t>Notes</t>
        </is>
      </c>
    </row>
    <row r="30">
      <c r="A30" s="70" t="inlineStr">
        <is>
          <t>□</t>
        </is>
      </c>
      <c r="B30" s="71" t="inlineStr">
        <is>
          <t>milliQ</t>
        </is>
      </c>
      <c r="C30" s="71" t="n"/>
      <c r="D30" s="101">
        <f>IFERROR(INDEX($K$14:$K$25,MATCH("RE",$F$14:$F$25,0)),0)</f>
        <v/>
      </c>
      <c r="E30" s="101">
        <f>D30*$E$28</f>
        <v/>
      </c>
      <c r="F30" s="71" t="n"/>
    </row>
    <row r="31">
      <c r="A31" s="70" t="inlineStr">
        <is>
          <t>□</t>
        </is>
      </c>
      <c r="B31" s="71" t="inlineStr">
        <is>
          <t>10×CutSmart</t>
        </is>
      </c>
      <c r="C31" s="71" t="inlineStr">
        <is>
          <t>1x</t>
        </is>
      </c>
      <c r="D31" s="101">
        <f>$C$8/10</f>
        <v/>
      </c>
      <c r="E31" s="101">
        <f>D31*$E$28</f>
        <v/>
      </c>
      <c r="F31" s="71" t="n"/>
    </row>
    <row r="32">
      <c r="A32" s="72" t="n"/>
      <c r="B32" s="72" t="inlineStr">
        <is>
          <t>Master mix subtotal</t>
        </is>
      </c>
      <c r="C32" s="72" t="n"/>
      <c r="D32" s="102">
        <f>SUM(D30:D31)</f>
        <v/>
      </c>
      <c r="E32" s="102">
        <f>SUM(E30:E31)</f>
        <v/>
      </c>
      <c r="F32" s="72" t="n"/>
    </row>
    <row r="33">
      <c r="A33" s="70" t="inlineStr">
        <is>
          <t>□</t>
        </is>
      </c>
      <c r="B33" s="71" t="inlineStr">
        <is>
          <t>Backbone plasmid</t>
        </is>
      </c>
      <c r="C33" s="71" t="n"/>
      <c r="D33" s="101">
        <f>$C$9</f>
        <v/>
      </c>
      <c r="E33" s="101" t="n"/>
      <c r="F33" s="73" t="inlineStr">
        <is>
          <t>Add to each tube individually</t>
        </is>
      </c>
    </row>
    <row r="34">
      <c r="A34" s="70" t="inlineStr">
        <is>
          <t>□</t>
        </is>
      </c>
      <c r="B34" s="71" t="inlineStr">
        <is>
          <t>Restriction enzyme (per tube)</t>
        </is>
      </c>
      <c r="C34" s="71" t="n"/>
      <c r="D34" s="101">
        <f>$C$8/25</f>
        <v/>
      </c>
      <c r="E34" s="101" t="n"/>
      <c r="F34" s="73" t="inlineStr">
        <is>
          <t>Add to each tube individually</t>
        </is>
      </c>
    </row>
    <row r="35">
      <c r="A35" s="72" t="n"/>
      <c r="B35" s="72" t="inlineStr">
        <is>
          <t>Total</t>
        </is>
      </c>
      <c r="C35" s="72" t="n"/>
      <c r="D35" s="102">
        <f>IF($C$6=0,0,$C$8)</f>
        <v/>
      </c>
      <c r="E35" s="102" t="n"/>
      <c r="F35" s="72" t="inlineStr">
        <is>
          <t>uL</t>
        </is>
      </c>
    </row>
    <row r="36">
      <c r="B36" s="76">
        <f>IF($C$6=0,"",IF(COUNTIFS($F$14:$F$25,"RE",$K$14:$K$25,D30)=$C$6,"","Note: the H2O volume differs between samples (a different number of enzymes). Split the mix."))</f>
        <v/>
      </c>
    </row>
    <row r="37"/>
    <row r="38">
      <c r="A38" s="93" t="inlineStr">
        <is>
          <t>□</t>
        </is>
      </c>
      <c r="B38" s="0" t="inlineStr">
        <is>
          <t>Mix well by vortexing, then spin down</t>
        </is>
      </c>
    </row>
    <row r="39">
      <c r="A39" s="93" t="inlineStr">
        <is>
          <t>□</t>
        </is>
      </c>
      <c r="B39" s="0" t="inlineStr">
        <is>
          <t>React under the following conditions</t>
        </is>
      </c>
      <c r="C39" s="64">
        <f>IFERROR(INDEX($M$14:$M$25,MATCH("RE",$F$14:$F$25,0)),"")</f>
        <v/>
      </c>
      <c r="D39" s="0" t="inlineStr">
        <is>
          <t>60 min</t>
        </is>
      </c>
    </row>
    <row r="40">
      <c r="A40" s="93" t="inlineStr">
        <is>
          <t>□</t>
        </is>
      </c>
      <c r="B40" s="0">
        <f>IF($C$10="Yes","Purify on a column (no heat inactivation needed)","Heat-inactivate")</f>
        <v/>
      </c>
    </row>
    <row r="41">
      <c r="B41" s="66" t="inlineStr">
        <is>
          <t>(checkpoint) Can be stored at -30°C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tabSelected="0" workbookViewId="0">
      <selection activeCell="A1" sqref="A1"/>
    </sheetView>
  </sheetViews>
  <sheetFormatPr baseColWidth="8" defaultRowHeight="18.75"/>
  <cols>
    <col width="4.625" customWidth="1" style="96" min="1" max="1"/>
    <col width="24.625" customWidth="1" style="96" min="2" max="2"/>
    <col width="46.625" customWidth="1" style="96" min="3" max="3"/>
    <col width="14.625" customWidth="1" style="96" min="4" max="5"/>
    <col width="22.625" customWidth="1" style="96" min="6" max="6"/>
    <col width="12.625" customWidth="1" style="96" min="7" max="7"/>
    <col width="14.625" customWidth="1" style="96" min="8" max="8"/>
  </cols>
  <sheetData>
    <row r="1">
      <c r="A1" s="100">
        <f>TODAY()</f>
        <v/>
      </c>
      <c r="C1" s="2" t="inlineStr">
        <is>
          <t>Cloning with HiFi assembly</t>
        </is>
      </c>
    </row>
    <row r="2"/>
    <row r="3">
      <c r="A3" s="63" t="inlineStr">
        <is>
          <t>2. PCR of the insert</t>
        </is>
      </c>
    </row>
    <row r="4">
      <c r="A4" s="93" t="inlineStr">
        <is>
          <t>□</t>
        </is>
      </c>
      <c r="B4" s="0" t="inlineStr">
        <is>
          <t>Thaw KOD One, the primers and the templates at room temperature</t>
        </is>
      </c>
    </row>
    <row r="5"/>
    <row r="6">
      <c r="B6" s="2" t="inlineStr">
        <is>
          <t>PCR tubes</t>
        </is>
      </c>
      <c r="C6" s="64">
        <f>COUNTIF($A$55:$A$66,"□")</f>
        <v/>
      </c>
      <c r="D6" s="65" t="inlineStr">
        <is>
          <t>tubes</t>
        </is>
      </c>
    </row>
    <row r="7">
      <c r="B7" s="2" t="inlineStr">
        <is>
          <t>Mix tubes to prepare</t>
        </is>
      </c>
      <c r="C7" s="64">
        <f>IF($C$6=0,0,$C$6+2)</f>
        <v/>
      </c>
      <c r="D7" s="65" t="inlineStr">
        <is>
          <t>tubes</t>
        </is>
      </c>
      <c r="E7" s="66" t="inlineStr">
        <is>
          <t>(PCR tubes + 2)</t>
        </is>
      </c>
    </row>
    <row r="8" ht="15" customHeight="1" s="96">
      <c r="B8" s="2" t="inlineStr">
        <is>
          <t>Longest product</t>
        </is>
      </c>
      <c r="C8" s="64">
        <f>IF($C$6=0,0,MAX($G$55:$G$66))</f>
        <v/>
      </c>
      <c r="D8" s="65" t="inlineStr">
        <is>
          <t>bp</t>
        </is>
      </c>
    </row>
    <row r="9" ht="15" customHeight="1" s="96">
      <c r="B9" s="2" t="inlineStr">
        <is>
          <t>Extension time</t>
        </is>
      </c>
      <c r="C9" s="64">
        <f>IF($C$8=0,"",MAX(5,ROUNDUP($C$8/1000*5,0)))</f>
        <v/>
      </c>
      <c r="D9" s="65" t="inlineStr">
        <is>
          <t>sec</t>
        </is>
      </c>
      <c r="E9" s="66" t="inlineStr">
        <is>
          <t>KOD One 5 sec/kb, set by the longest product</t>
        </is>
      </c>
    </row>
    <row r="10" ht="15" customHeight="1" s="96">
      <c r="B10" s="76">
        <f>IF(COUNTIFS($A$55:$A$66,"□",$G$55:$G$66,"")=0,"","Note: some rows have an empty Length (bp). The extension time is calculated from the filled rows only.")</f>
        <v/>
      </c>
    </row>
    <row r="11" ht="15" customHeight="1" s="96"/>
    <row r="12" ht="15" customHeight="1" s="96">
      <c r="B12" s="2" t="inlineStr">
        <is>
          <t>• Template solution (1/5 dilution, per template)</t>
        </is>
      </c>
    </row>
    <row r="13" ht="15" customHeight="1" s="96">
      <c r="A13" s="67" t="n"/>
      <c r="B13" s="67" t="inlineStr">
        <is>
          <t>Reagent</t>
        </is>
      </c>
      <c r="C13" s="67" t="inlineStr">
        <is>
          <t>Final</t>
        </is>
      </c>
      <c r="D13" s="67" t="inlineStr">
        <is>
          <t>Volume (uL)</t>
        </is>
      </c>
      <c r="E13" s="67" t="n"/>
    </row>
    <row r="14" ht="15" customHeight="1" s="96">
      <c r="A14" s="70" t="inlineStr">
        <is>
          <t>□</t>
        </is>
      </c>
      <c r="B14" s="71" t="inlineStr">
        <is>
          <t>Template DNA</t>
        </is>
      </c>
      <c r="C14" s="71" t="n"/>
      <c r="D14" s="101" t="n">
        <v>2</v>
      </c>
      <c r="E14" s="71" t="n"/>
    </row>
    <row r="15" ht="15" customHeight="1" s="96">
      <c r="A15" s="70" t="inlineStr">
        <is>
          <t>□</t>
        </is>
      </c>
      <c r="B15" s="71" t="inlineStr">
        <is>
          <t>H2O</t>
        </is>
      </c>
      <c r="C15" s="71" t="n"/>
      <c r="D15" s="101" t="n">
        <v>8</v>
      </c>
      <c r="E15" s="71" t="n"/>
    </row>
    <row r="16" ht="15" customHeight="1" s="96">
      <c r="A16" s="72" t="n"/>
      <c r="B16" s="72" t="inlineStr">
        <is>
          <t>Total</t>
        </is>
      </c>
      <c r="C16" s="72" t="n"/>
      <c r="D16" s="102">
        <f>SUM(D14:D15)</f>
        <v/>
      </c>
      <c r="E16" s="72" t="inlineStr">
        <is>
          <t>uL</t>
        </is>
      </c>
    </row>
    <row r="17" ht="15" customHeight="1" s="96"/>
    <row r="18" ht="15" customHeight="1" s="96">
      <c r="B18" s="2" t="inlineStr">
        <is>
          <t>• Primer solution (100 uM → 10 uM, per primer)</t>
        </is>
      </c>
    </row>
    <row r="19" ht="15" customHeight="1" s="96">
      <c r="A19" s="67" t="n"/>
      <c r="B19" s="67" t="inlineStr">
        <is>
          <t>Reagent</t>
        </is>
      </c>
      <c r="C19" s="67" t="inlineStr">
        <is>
          <t>Final</t>
        </is>
      </c>
      <c r="D19" s="67" t="inlineStr">
        <is>
          <t>Volume (uL)</t>
        </is>
      </c>
      <c r="E19" s="67" t="n"/>
    </row>
    <row r="20" ht="15" customHeight="1" s="96">
      <c r="A20" s="70" t="inlineStr">
        <is>
          <t>□</t>
        </is>
      </c>
      <c r="B20" s="71" t="inlineStr">
        <is>
          <t>100 uM Primer</t>
        </is>
      </c>
      <c r="C20" s="71" t="inlineStr">
        <is>
          <t>10 uM</t>
        </is>
      </c>
      <c r="D20" s="101" t="n">
        <v>2</v>
      </c>
      <c r="E20" s="71" t="n"/>
    </row>
    <row r="21" ht="15" customHeight="1" s="96">
      <c r="A21" s="70" t="inlineStr">
        <is>
          <t>□</t>
        </is>
      </c>
      <c r="B21" s="71" t="inlineStr">
        <is>
          <t>H2O</t>
        </is>
      </c>
      <c r="C21" s="71" t="n"/>
      <c r="D21" s="101" t="n">
        <v>18</v>
      </c>
      <c r="E21" s="71" t="n"/>
    </row>
    <row r="22">
      <c r="A22" s="72" t="n"/>
      <c r="B22" s="72" t="inlineStr">
        <is>
          <t>Total</t>
        </is>
      </c>
      <c r="C22" s="72" t="n"/>
      <c r="D22" s="102">
        <f>SUM(D20:D21)</f>
        <v/>
      </c>
      <c r="E22" s="72" t="inlineStr">
        <is>
          <t>uL</t>
        </is>
      </c>
    </row>
    <row r="23"/>
    <row r="24">
      <c r="B24" s="2" t="inlineStr">
        <is>
          <t>• PCR mix preparation</t>
        </is>
      </c>
    </row>
    <row r="25">
      <c r="D25" s="2" t="inlineStr">
        <is>
          <t>Mix tubes</t>
        </is>
      </c>
      <c r="E25" s="64">
        <f>$C$7</f>
        <v/>
      </c>
      <c r="F25" s="66" t="inlineStr">
        <is>
          <t>tubes</t>
        </is>
      </c>
    </row>
    <row r="26">
      <c r="A26" s="67" t="n"/>
      <c r="B26" s="67" t="inlineStr">
        <is>
          <t>Reagent</t>
        </is>
      </c>
      <c r="C26" s="67" t="inlineStr">
        <is>
          <t>Final</t>
        </is>
      </c>
      <c r="D26" s="67" t="inlineStr">
        <is>
          <t>1 sample (uL)</t>
        </is>
      </c>
      <c r="E26" s="67" t="inlineStr">
        <is>
          <t>Mix (uL)</t>
        </is>
      </c>
      <c r="F26" s="67" t="inlineStr">
        <is>
          <t>Notes</t>
        </is>
      </c>
    </row>
    <row r="27">
      <c r="A27" s="70" t="inlineStr">
        <is>
          <t>□</t>
        </is>
      </c>
      <c r="B27" s="71" t="inlineStr">
        <is>
          <t>H2O</t>
        </is>
      </c>
      <c r="C27" s="71" t="n"/>
      <c r="D27" s="101" t="n">
        <v>21</v>
      </c>
      <c r="E27" s="101">
        <f>D27*$E$25</f>
        <v/>
      </c>
      <c r="F27" s="71" t="n"/>
    </row>
    <row r="28">
      <c r="A28" s="70" t="inlineStr">
        <is>
          <t>□</t>
        </is>
      </c>
      <c r="B28" s="71" t="inlineStr">
        <is>
          <t>KOD One</t>
        </is>
      </c>
      <c r="C28" s="71" t="inlineStr">
        <is>
          <t>1x</t>
        </is>
      </c>
      <c r="D28" s="101" t="n">
        <v>25</v>
      </c>
      <c r="E28" s="101">
        <f>D28*$E$25</f>
        <v/>
      </c>
      <c r="F28" s="71" t="n"/>
    </row>
    <row r="29">
      <c r="A29" s="77" t="n"/>
      <c r="B29" s="77" t="inlineStr">
        <is>
          <t>Master mix subtotal</t>
        </is>
      </c>
      <c r="C29" s="77" t="n"/>
      <c r="D29" s="103">
        <f>SUM(D27:D28)</f>
        <v/>
      </c>
      <c r="E29" s="103">
        <f>SUM(E27:E28)</f>
        <v/>
      </c>
      <c r="F29" s="77" t="n"/>
    </row>
    <row r="30">
      <c r="A30" s="70" t="inlineStr">
        <is>
          <t>□</t>
        </is>
      </c>
      <c r="B30" s="71" t="inlineStr">
        <is>
          <t>10 uM Primer 5'</t>
        </is>
      </c>
      <c r="C30" s="71" t="n"/>
      <c r="D30" s="101" t="n">
        <v>1.5</v>
      </c>
      <c r="E30" s="101" t="n"/>
      <c r="F30" s="73" t="inlineStr">
        <is>
          <t>Add to each tube individually</t>
        </is>
      </c>
    </row>
    <row r="31">
      <c r="A31" s="70" t="inlineStr">
        <is>
          <t>□</t>
        </is>
      </c>
      <c r="B31" s="71" t="inlineStr">
        <is>
          <t>10 uM Primer 3'</t>
        </is>
      </c>
      <c r="C31" s="71" t="n"/>
      <c r="D31" s="101" t="n">
        <v>1.5</v>
      </c>
      <c r="E31" s="101" t="n"/>
      <c r="F31" s="73" t="inlineStr">
        <is>
          <t>Add to each tube individually</t>
        </is>
      </c>
    </row>
    <row r="32">
      <c r="A32" s="70" t="inlineStr">
        <is>
          <t>□</t>
        </is>
      </c>
      <c r="B32" s="71" t="inlineStr">
        <is>
          <t>1/5 Template DNA</t>
        </is>
      </c>
      <c r="C32" s="71" t="n"/>
      <c r="D32" s="101" t="n">
        <v>1</v>
      </c>
      <c r="E32" s="101" t="n"/>
      <c r="F32" s="73" t="inlineStr">
        <is>
          <t>Add to each tube individually</t>
        </is>
      </c>
    </row>
    <row r="33">
      <c r="A33" s="77" t="n"/>
      <c r="B33" s="77" t="inlineStr">
        <is>
          <t>Total</t>
        </is>
      </c>
      <c r="C33" s="77" t="n"/>
      <c r="D33" s="103">
        <f>D29+SUM(D30:D32)</f>
        <v/>
      </c>
      <c r="E33" s="103" t="n"/>
      <c r="F33" s="77" t="inlineStr">
        <is>
          <t>uL</t>
        </is>
      </c>
    </row>
    <row r="34"/>
    <row r="35">
      <c r="B35" s="2" t="inlineStr">
        <is>
          <t>• PCR conditions (KOD One)</t>
        </is>
      </c>
    </row>
    <row r="36">
      <c r="A36" s="67" t="n"/>
      <c r="B36" s="67" t="inlineStr">
        <is>
          <t>Step</t>
        </is>
      </c>
      <c r="C36" s="67" t="inlineStr">
        <is>
          <t>Temp.</t>
        </is>
      </c>
      <c r="D36" s="67" t="inlineStr">
        <is>
          <t>Time</t>
        </is>
      </c>
      <c r="E36" s="67" t="inlineStr">
        <is>
          <t>Cycles</t>
        </is>
      </c>
    </row>
    <row r="37">
      <c r="A37" s="70" t="inlineStr">
        <is>
          <t>□</t>
        </is>
      </c>
      <c r="B37" s="71" t="inlineStr">
        <is>
          <t>Denature</t>
        </is>
      </c>
      <c r="C37" s="70" t="inlineStr">
        <is>
          <t>98°C</t>
        </is>
      </c>
      <c r="D37" s="70" t="inlineStr">
        <is>
          <t>2 min</t>
        </is>
      </c>
      <c r="E37" s="70" t="n"/>
    </row>
    <row r="38">
      <c r="A38" s="71" t="n"/>
      <c r="B38" s="71" t="inlineStr">
        <is>
          <t>Denature</t>
        </is>
      </c>
      <c r="C38" s="70" t="inlineStr">
        <is>
          <t>98°C</t>
        </is>
      </c>
      <c r="D38" s="70" t="inlineStr">
        <is>
          <t>10 sec</t>
        </is>
      </c>
      <c r="E38" s="70" t="n">
        <v>40</v>
      </c>
    </row>
    <row r="39">
      <c r="A39" s="71" t="n"/>
      <c r="B39" s="71" t="inlineStr">
        <is>
          <t>Annealing</t>
        </is>
      </c>
      <c r="C39" s="70" t="inlineStr">
        <is>
          <t>55°C</t>
        </is>
      </c>
      <c r="D39" s="70" t="inlineStr">
        <is>
          <t>5 sec</t>
        </is>
      </c>
      <c r="E39" s="70" t="n"/>
    </row>
    <row r="40">
      <c r="A40" s="71" t="n"/>
      <c r="B40" s="71" t="inlineStr">
        <is>
          <t>Extension</t>
        </is>
      </c>
      <c r="C40" s="70" t="inlineStr">
        <is>
          <t>68°C</t>
        </is>
      </c>
      <c r="D40" s="79">
        <f>IF($C$9="","",$C$9&amp;" sec")</f>
        <v/>
      </c>
      <c r="E40" s="70" t="n"/>
    </row>
    <row r="41">
      <c r="A41" s="71" t="n"/>
      <c r="B41" s="71" t="inlineStr">
        <is>
          <t>Hold</t>
        </is>
      </c>
      <c r="C41" s="70" t="inlineStr">
        <is>
          <t>4°C</t>
        </is>
      </c>
      <c r="D41" s="70" t="inlineStr">
        <is>
          <t>∞</t>
        </is>
      </c>
      <c r="E41" s="70" t="n"/>
    </row>
    <row r="42"/>
    <row r="43">
      <c r="B43" s="2" t="inlineStr">
        <is>
          <t>• DpnI digestion</t>
        </is>
      </c>
    </row>
    <row r="44">
      <c r="D44" s="2" t="inlineStr">
        <is>
          <t>Mix tubes</t>
        </is>
      </c>
      <c r="E44" s="64">
        <f>$C$7</f>
        <v/>
      </c>
      <c r="F44" s="66" t="inlineStr">
        <is>
          <t>tubes</t>
        </is>
      </c>
    </row>
    <row r="45">
      <c r="A45" s="67" t="n"/>
      <c r="B45" s="67" t="inlineStr">
        <is>
          <t>Reagent</t>
        </is>
      </c>
      <c r="C45" s="67" t="inlineStr">
        <is>
          <t>Final</t>
        </is>
      </c>
      <c r="D45" s="67" t="inlineStr">
        <is>
          <t>1 sample (uL)</t>
        </is>
      </c>
      <c r="E45" s="67" t="inlineStr">
        <is>
          <t>Mix (uL)</t>
        </is>
      </c>
      <c r="F45" s="67" t="inlineStr">
        <is>
          <t>Notes</t>
        </is>
      </c>
    </row>
    <row r="46">
      <c r="A46" s="70" t="inlineStr">
        <is>
          <t>□</t>
        </is>
      </c>
      <c r="B46" s="71" t="inlineStr">
        <is>
          <t>10×FD</t>
        </is>
      </c>
      <c r="C46" s="71" t="n"/>
      <c r="D46" s="101" t="n">
        <v>5.5</v>
      </c>
      <c r="E46" s="101">
        <f>D46*$E$44</f>
        <v/>
      </c>
      <c r="F46" s="71" t="n"/>
    </row>
    <row r="47">
      <c r="A47" s="70" t="inlineStr">
        <is>
          <t>□</t>
        </is>
      </c>
      <c r="B47" s="71" t="inlineStr">
        <is>
          <t>DpnI</t>
        </is>
      </c>
      <c r="C47" s="71" t="n"/>
      <c r="D47" s="101" t="n">
        <v>1</v>
      </c>
      <c r="E47" s="101">
        <f>D47*$E$44</f>
        <v/>
      </c>
      <c r="F47" s="71" t="n"/>
    </row>
    <row r="48">
      <c r="A48" s="80" t="n"/>
      <c r="B48" s="80" t="inlineStr">
        <is>
          <t>Master mix subtotal</t>
        </is>
      </c>
      <c r="C48" s="80" t="n"/>
      <c r="D48" s="104">
        <f>SUM(D46:D47)</f>
        <v/>
      </c>
      <c r="E48" s="104">
        <f>SUM(E46:E47)</f>
        <v/>
      </c>
      <c r="F48" s="80" t="n"/>
    </row>
    <row r="49">
      <c r="A49" s="70" t="inlineStr">
        <is>
          <t>□</t>
        </is>
      </c>
      <c r="B49" s="71" t="inlineStr">
        <is>
          <t>PCR library</t>
        </is>
      </c>
      <c r="C49" s="71" t="inlineStr">
        <is>
          <t>Total</t>
        </is>
      </c>
      <c r="D49" s="101" t="n">
        <v>50</v>
      </c>
      <c r="E49" s="101" t="n"/>
      <c r="F49" s="73" t="inlineStr">
        <is>
          <t>Add to each tube individually</t>
        </is>
      </c>
    </row>
    <row r="50">
      <c r="A50" s="80" t="n"/>
      <c r="B50" s="80" t="inlineStr">
        <is>
          <t>Total</t>
        </is>
      </c>
      <c r="C50" s="80" t="n"/>
      <c r="D50" s="104">
        <f>D48+SUM(D49:D49)</f>
        <v/>
      </c>
      <c r="E50" s="104" t="n"/>
      <c r="F50" s="80" t="inlineStr">
        <is>
          <t>uL</t>
        </is>
      </c>
    </row>
    <row r="51">
      <c r="B51" s="0" t="inlineStr">
        <is>
          <t>37°C 15 min  →  80°C 5 min</t>
        </is>
      </c>
    </row>
    <row r="52"/>
    <row r="53">
      <c r="B53" s="2" t="inlineStr">
        <is>
          <t>PCR list</t>
        </is>
      </c>
    </row>
    <row r="54">
      <c r="A54" s="68" t="n"/>
      <c r="B54" s="68" t="inlineStr">
        <is>
          <t>Sub. No.</t>
        </is>
      </c>
      <c r="C54" s="68" t="inlineStr">
        <is>
          <t>Plasmid name</t>
        </is>
      </c>
      <c r="D54" s="68" t="inlineStr">
        <is>
          <t>Primer 1</t>
        </is>
      </c>
      <c r="E54" s="68" t="inlineStr">
        <is>
          <t>Primer 2</t>
        </is>
      </c>
      <c r="F54" s="68" t="inlineStr">
        <is>
          <t>Template</t>
        </is>
      </c>
      <c r="G54" s="68" t="inlineStr">
        <is>
          <t>Length (bp)</t>
        </is>
      </c>
      <c r="H54" s="68" t="inlineStr">
        <is>
          <t>Extension time (sec)</t>
        </is>
      </c>
    </row>
    <row r="55">
      <c r="A55" s="95">
        <f>IF(Data!M2="","","□")</f>
        <v/>
      </c>
      <c r="B55" s="95">
        <f>IF(Data!M2="","",IF(Data!C2="","""",Data!C2))</f>
        <v/>
      </c>
      <c r="C55" s="82">
        <f>IF(Data!M2="","",Data!G2&amp;"")</f>
        <v/>
      </c>
      <c r="D55" s="95">
        <f>IF(Data!M2="","",Data!M2)</f>
        <v/>
      </c>
      <c r="E55" s="95">
        <f>IF(Data!M2="","",Data!N2)</f>
        <v/>
      </c>
      <c r="F55" s="95">
        <f>IF(Data!M2="","",Data!O2&amp;"")</f>
        <v/>
      </c>
      <c r="G55" s="95">
        <f>IF(Data!M2="","",IF(Data!P2="","",Data!P2))</f>
        <v/>
      </c>
      <c r="H55" s="95">
        <f>IF(OR(Data!M2="",G55=""),"",MAX(5,ROUNDUP(G55/1000*5,0)))</f>
        <v/>
      </c>
    </row>
    <row r="56">
      <c r="A56" s="95">
        <f>IF(Data!M3="","","□")</f>
        <v/>
      </c>
      <c r="B56" s="95">
        <f>IF(Data!M3="","",IF(Data!C3="","""",Data!C3))</f>
        <v/>
      </c>
      <c r="C56" s="82">
        <f>IF(Data!M3="","",Data!G3&amp;"")</f>
        <v/>
      </c>
      <c r="D56" s="95">
        <f>IF(Data!M3="","",Data!M3)</f>
        <v/>
      </c>
      <c r="E56" s="95">
        <f>IF(Data!M3="","",Data!N3)</f>
        <v/>
      </c>
      <c r="F56" s="95">
        <f>IF(Data!M3="","",Data!O3&amp;"")</f>
        <v/>
      </c>
      <c r="G56" s="95">
        <f>IF(Data!M3="","",IF(Data!P3="","",Data!P3))</f>
        <v/>
      </c>
      <c r="H56" s="95">
        <f>IF(OR(Data!M3="",G56=""),"",MAX(5,ROUNDUP(G56/1000*5,0)))</f>
        <v/>
      </c>
    </row>
    <row r="57">
      <c r="A57" s="95">
        <f>IF(Data!M4="","","□")</f>
        <v/>
      </c>
      <c r="B57" s="95">
        <f>IF(Data!M4="","",IF(Data!C4="","""",Data!C4))</f>
        <v/>
      </c>
      <c r="C57" s="82">
        <f>IF(Data!M4="","",Data!G4&amp;"")</f>
        <v/>
      </c>
      <c r="D57" s="95">
        <f>IF(Data!M4="","",Data!M4)</f>
        <v/>
      </c>
      <c r="E57" s="95">
        <f>IF(Data!M4="","",Data!N4)</f>
        <v/>
      </c>
      <c r="F57" s="95">
        <f>IF(Data!M4="","",Data!O4&amp;"")</f>
        <v/>
      </c>
      <c r="G57" s="95">
        <f>IF(Data!M4="","",IF(Data!P4="","",Data!P4))</f>
        <v/>
      </c>
      <c r="H57" s="95">
        <f>IF(OR(Data!M4="",G57=""),"",MAX(5,ROUNDUP(G57/1000*5,0)))</f>
        <v/>
      </c>
    </row>
    <row r="58">
      <c r="A58" s="95">
        <f>IF(Data!M5="","","□")</f>
        <v/>
      </c>
      <c r="B58" s="95">
        <f>IF(Data!M5="","",IF(Data!C5="","""",Data!C5))</f>
        <v/>
      </c>
      <c r="C58" s="82">
        <f>IF(Data!M5="","",Data!G5&amp;"")</f>
        <v/>
      </c>
      <c r="D58" s="95">
        <f>IF(Data!M5="","",Data!M5)</f>
        <v/>
      </c>
      <c r="E58" s="95">
        <f>IF(Data!M5="","",Data!N5)</f>
        <v/>
      </c>
      <c r="F58" s="95">
        <f>IF(Data!M5="","",Data!O5&amp;"")</f>
        <v/>
      </c>
      <c r="G58" s="95">
        <f>IF(Data!M5="","",IF(Data!P5="","",Data!P5))</f>
        <v/>
      </c>
      <c r="H58" s="95">
        <f>IF(OR(Data!M5="",G58=""),"",MAX(5,ROUNDUP(G58/1000*5,0)))</f>
        <v/>
      </c>
    </row>
    <row r="59">
      <c r="A59" s="95">
        <f>IF(Data!M6="","","□")</f>
        <v/>
      </c>
      <c r="B59" s="95">
        <f>IF(Data!M6="","",IF(Data!C6="","""",Data!C6))</f>
        <v/>
      </c>
      <c r="C59" s="82">
        <f>IF(Data!M6="","",Data!G6&amp;"")</f>
        <v/>
      </c>
      <c r="D59" s="95">
        <f>IF(Data!M6="","",Data!M6)</f>
        <v/>
      </c>
      <c r="E59" s="95">
        <f>IF(Data!M6="","",Data!N6)</f>
        <v/>
      </c>
      <c r="F59" s="95">
        <f>IF(Data!M6="","",Data!O6&amp;"")</f>
        <v/>
      </c>
      <c r="G59" s="95">
        <f>IF(Data!M6="","",IF(Data!P6="","",Data!P6))</f>
        <v/>
      </c>
      <c r="H59" s="95">
        <f>IF(OR(Data!M6="",G59=""),"",MAX(5,ROUNDUP(G59/1000*5,0)))</f>
        <v/>
      </c>
    </row>
    <row r="60">
      <c r="A60" s="95">
        <f>IF(Data!M7="","","□")</f>
        <v/>
      </c>
      <c r="B60" s="95">
        <f>IF(Data!M7="","",IF(Data!C7="","""",Data!C7))</f>
        <v/>
      </c>
      <c r="C60" s="82">
        <f>IF(Data!M7="","",Data!G7&amp;"")</f>
        <v/>
      </c>
      <c r="D60" s="95">
        <f>IF(Data!M7="","",Data!M7)</f>
        <v/>
      </c>
      <c r="E60" s="95">
        <f>IF(Data!M7="","",Data!N7)</f>
        <v/>
      </c>
      <c r="F60" s="95">
        <f>IF(Data!M7="","",Data!O7&amp;"")</f>
        <v/>
      </c>
      <c r="G60" s="95">
        <f>IF(Data!M7="","",IF(Data!P7="","",Data!P7))</f>
        <v/>
      </c>
      <c r="H60" s="95">
        <f>IF(OR(Data!M7="",G60=""),"",MAX(5,ROUNDUP(G60/1000*5,0)))</f>
        <v/>
      </c>
    </row>
    <row r="61">
      <c r="A61" s="95">
        <f>IF(Data!M8="","","□")</f>
        <v/>
      </c>
      <c r="B61" s="95">
        <f>IF(Data!M8="","",IF(Data!C8="","""",Data!C8))</f>
        <v/>
      </c>
      <c r="C61" s="82">
        <f>IF(Data!M8="","",Data!G8&amp;"")</f>
        <v/>
      </c>
      <c r="D61" s="95">
        <f>IF(Data!M8="","",Data!M8)</f>
        <v/>
      </c>
      <c r="E61" s="95">
        <f>IF(Data!M8="","",Data!N8)</f>
        <v/>
      </c>
      <c r="F61" s="95">
        <f>IF(Data!M8="","",Data!O8&amp;"")</f>
        <v/>
      </c>
      <c r="G61" s="95">
        <f>IF(Data!M8="","",IF(Data!P8="","",Data!P8))</f>
        <v/>
      </c>
      <c r="H61" s="95">
        <f>IF(OR(Data!M8="",G61=""),"",MAX(5,ROUNDUP(G61/1000*5,0)))</f>
        <v/>
      </c>
    </row>
    <row r="62">
      <c r="A62" s="95">
        <f>IF(Data!M9="","","□")</f>
        <v/>
      </c>
      <c r="B62" s="95">
        <f>IF(Data!M9="","",IF(Data!C9="","""",Data!C9))</f>
        <v/>
      </c>
      <c r="C62" s="82">
        <f>IF(Data!M9="","",Data!G9&amp;"")</f>
        <v/>
      </c>
      <c r="D62" s="95">
        <f>IF(Data!M9="","",Data!M9)</f>
        <v/>
      </c>
      <c r="E62" s="95">
        <f>IF(Data!M9="","",Data!N9)</f>
        <v/>
      </c>
      <c r="F62" s="95">
        <f>IF(Data!M9="","",Data!O9&amp;"")</f>
        <v/>
      </c>
      <c r="G62" s="95">
        <f>IF(Data!M9="","",IF(Data!P9="","",Data!P9))</f>
        <v/>
      </c>
      <c r="H62" s="95">
        <f>IF(OR(Data!M9="",G62=""),"",MAX(5,ROUNDUP(G62/1000*5,0)))</f>
        <v/>
      </c>
    </row>
    <row r="63">
      <c r="A63" s="95">
        <f>IF(Data!M10="","","□")</f>
        <v/>
      </c>
      <c r="B63" s="95">
        <f>IF(Data!M10="","",IF(Data!C10="","""",Data!C10))</f>
        <v/>
      </c>
      <c r="C63" s="82">
        <f>IF(Data!M10="","",Data!G10&amp;"")</f>
        <v/>
      </c>
      <c r="D63" s="95">
        <f>IF(Data!M10="","",Data!M10)</f>
        <v/>
      </c>
      <c r="E63" s="95">
        <f>IF(Data!M10="","",Data!N10)</f>
        <v/>
      </c>
      <c r="F63" s="95">
        <f>IF(Data!M10="","",Data!O10&amp;"")</f>
        <v/>
      </c>
      <c r="G63" s="95">
        <f>IF(Data!M10="","",IF(Data!P10="","",Data!P10))</f>
        <v/>
      </c>
      <c r="H63" s="95">
        <f>IF(OR(Data!M10="",G63=""),"",MAX(5,ROUNDUP(G63/1000*5,0)))</f>
        <v/>
      </c>
    </row>
    <row r="64">
      <c r="A64" s="95">
        <f>IF(Data!M11="","","□")</f>
        <v/>
      </c>
      <c r="B64" s="95">
        <f>IF(Data!M11="","",IF(Data!C11="","""",Data!C11))</f>
        <v/>
      </c>
      <c r="C64" s="82">
        <f>IF(Data!M11="","",Data!G11&amp;"")</f>
        <v/>
      </c>
      <c r="D64" s="95">
        <f>IF(Data!M11="","",Data!M11)</f>
        <v/>
      </c>
      <c r="E64" s="95">
        <f>IF(Data!M11="","",Data!N11)</f>
        <v/>
      </c>
      <c r="F64" s="95">
        <f>IF(Data!M11="","",Data!O11&amp;"")</f>
        <v/>
      </c>
      <c r="G64" s="95">
        <f>IF(Data!M11="","",IF(Data!P11="","",Data!P11))</f>
        <v/>
      </c>
      <c r="H64" s="95">
        <f>IF(OR(Data!M11="",G64=""),"",MAX(5,ROUNDUP(G64/1000*5,0)))</f>
        <v/>
      </c>
    </row>
    <row r="65">
      <c r="A65" s="95">
        <f>IF(Data!M12="","","□")</f>
        <v/>
      </c>
      <c r="B65" s="95">
        <f>IF(Data!M12="","",IF(Data!C12="","""",Data!C12))</f>
        <v/>
      </c>
      <c r="C65" s="82">
        <f>IF(Data!M12="","",Data!G12&amp;"")</f>
        <v/>
      </c>
      <c r="D65" s="95">
        <f>IF(Data!M12="","",Data!M12)</f>
        <v/>
      </c>
      <c r="E65" s="95">
        <f>IF(Data!M12="","",Data!N12)</f>
        <v/>
      </c>
      <c r="F65" s="95">
        <f>IF(Data!M12="","",Data!O12&amp;"")</f>
        <v/>
      </c>
      <c r="G65" s="95">
        <f>IF(Data!M12="","",IF(Data!P12="","",Data!P12))</f>
        <v/>
      </c>
      <c r="H65" s="95">
        <f>IF(OR(Data!M12="",G65=""),"",MAX(5,ROUNDUP(G65/1000*5,0)))</f>
        <v/>
      </c>
    </row>
    <row r="66">
      <c r="A66" s="95">
        <f>IF(Data!M13="","","□")</f>
        <v/>
      </c>
      <c r="B66" s="95">
        <f>IF(Data!M13="","",IF(Data!C13="","""",Data!C13))</f>
        <v/>
      </c>
      <c r="C66" s="82">
        <f>IF(Data!M13="","",Data!G13&amp;"")</f>
        <v/>
      </c>
      <c r="D66" s="95">
        <f>IF(Data!M13="","",Data!M13)</f>
        <v/>
      </c>
      <c r="E66" s="95">
        <f>IF(Data!M13="","",Data!N13)</f>
        <v/>
      </c>
      <c r="F66" s="95">
        <f>IF(Data!M13="","",Data!O13&amp;"")</f>
        <v/>
      </c>
      <c r="G66" s="95">
        <f>IF(Data!M13="","",IF(Data!P13="","",Data!P13))</f>
        <v/>
      </c>
      <c r="H66" s="95">
        <f>IF(OR(Data!M13="",G66=""),"",MAX(5,ROUNDUP(G66/1000*5,0)))</f>
        <v/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60"/>
  <sheetViews>
    <sheetView tabSelected="0" view="pageBreakPreview" topLeftCell="A3" zoomScale="60" zoomScaleNormal="70" workbookViewId="0">
      <selection activeCell="D9" sqref="D9"/>
    </sheetView>
  </sheetViews>
  <sheetFormatPr baseColWidth="8" defaultRowHeight="18.75"/>
  <cols>
    <col width="11.5" bestFit="1" customWidth="1" style="96" min="1" max="1"/>
    <col width="16.125" customWidth="1" style="96" min="2" max="2"/>
    <col width="12.625" customWidth="1" style="96" min="3" max="9"/>
    <col width="17.625" customWidth="1" style="96" min="10" max="10"/>
    <col width="12.625" customWidth="1" style="96" min="11" max="13"/>
  </cols>
  <sheetData>
    <row r="1">
      <c r="A1" s="24">
        <f>TODAY()</f>
        <v/>
      </c>
      <c r="B1" s="0" t="inlineStr">
        <is>
          <t>Insert : backbone ratio = 2 : 1</t>
        </is>
      </c>
    </row>
    <row r="2" ht="19.5" customHeight="1" s="96" thickBot="1">
      <c r="A2" s="0" t="inlineStr">
        <is>
          <t>Total</t>
        </is>
      </c>
      <c r="C2" s="35" t="inlineStr">
        <is>
          <t>Insert reaction conc.</t>
        </is>
      </c>
      <c r="D2" s="105" t="n"/>
      <c r="E2" s="35" t="inlineStr">
        <is>
          <t>Backbone reaction conc.</t>
        </is>
      </c>
      <c r="F2" s="105" t="n"/>
      <c r="G2" s="25">
        <f>IF(A8&gt;3,"Total conc.: "&amp;0.02*A3&amp;"~"&amp;0.05*A3&amp;" pmol","Total conc.: "&amp;0.003*A3&amp;"~"&amp;0.02*A3&amp;" pmol")</f>
        <v/>
      </c>
      <c r="H2" s="26" t="n"/>
    </row>
    <row r="3" ht="19.5" customHeight="1" s="96" thickTop="1">
      <c r="A3" s="0" t="n">
        <v>5</v>
      </c>
      <c r="B3" s="0" t="inlineStr">
        <is>
          <t>uL</t>
        </is>
      </c>
      <c r="C3" s="27">
        <f>0.007*A3</f>
        <v/>
      </c>
      <c r="D3" s="28" t="inlineStr">
        <is>
          <t>pmol</t>
        </is>
      </c>
      <c r="E3" s="27">
        <f>IF(A8&gt;3,C3,C3/2)</f>
        <v/>
      </c>
      <c r="F3" s="28" t="inlineStr">
        <is>
          <t>pmol</t>
        </is>
      </c>
      <c r="G3" s="29">
        <f>C3*A8+E3</f>
        <v/>
      </c>
      <c r="H3" s="28" t="inlineStr">
        <is>
          <t>pmol</t>
        </is>
      </c>
      <c r="I3" s="30" t="n"/>
    </row>
    <row r="4"/>
    <row r="5"/>
    <row r="6">
      <c r="B6" s="0" t="inlineStr">
        <is>
          <t>Insert fragments</t>
        </is>
      </c>
    </row>
    <row r="7" ht="56.25" customFormat="1" customHeight="1" s="31">
      <c r="A7" s="31" t="inlineStr">
        <is>
          <t>Inserts</t>
        </is>
      </c>
      <c r="B7" s="89" t="inlineStr">
        <is>
          <t>DNA sample
(Primer No.)</t>
        </is>
      </c>
      <c r="C7" s="49" t="inlineStr">
        <is>
          <t xml:space="preserve">
Conc.</t>
        </is>
      </c>
      <c r="D7" s="106" t="inlineStr">
        <is>
          <t>Fragment length (bp)</t>
        </is>
      </c>
      <c r="E7" s="87" t="inlineStr">
        <is>
          <t>Fragment
stock conc.</t>
        </is>
      </c>
      <c r="F7" s="107" t="n"/>
      <c r="G7" s="88" t="inlineStr">
        <is>
          <t>Reaction conc.</t>
        </is>
      </c>
      <c r="H7" s="33" t="inlineStr">
        <is>
          <t>Volume needed
(final 20 uL)</t>
        </is>
      </c>
      <c r="I7" s="33" t="inlineStr">
        <is>
          <t>Volume needed
(final 10 uL)</t>
        </is>
      </c>
      <c r="J7" s="88" t="inlineStr">
        <is>
          <t>Dilution factor</t>
        </is>
      </c>
    </row>
    <row r="8" ht="19.5" customFormat="1" customHeight="1" s="93" thickBot="1">
      <c r="A8" s="93">
        <f>MAX(1,COUNTIF(L9:L20,MAX(1,IFERROR(MODE(L9:L20),1))))</f>
        <v/>
      </c>
      <c r="B8" s="108" t="n"/>
      <c r="C8" s="50" t="inlineStr">
        <is>
          <t>ng/uL</t>
        </is>
      </c>
      <c r="D8" s="108" t="n"/>
      <c r="E8" s="50" t="inlineStr">
        <is>
          <t>nmol/L</t>
        </is>
      </c>
      <c r="F8" s="50" t="inlineStr">
        <is>
          <t>pmol/uL</t>
        </is>
      </c>
      <c r="G8" s="35" t="inlineStr">
        <is>
          <t>pmol/uL</t>
        </is>
      </c>
      <c r="H8" s="35" t="inlineStr">
        <is>
          <t>uL</t>
        </is>
      </c>
      <c r="I8" s="35" t="inlineStr">
        <is>
          <t>uL</t>
        </is>
      </c>
      <c r="J8" s="109" t="n"/>
      <c r="M8" s="110" t="n"/>
      <c r="N8" s="110" t="n"/>
      <c r="O8" s="110" t="n"/>
    </row>
    <row r="9" ht="19.5" customHeight="1" s="96" thickTop="1">
      <c r="A9" s="0">
        <f>IF(AND(Data!B2&lt;&gt;"",Data!C2=""),A8,Data!C2)</f>
        <v/>
      </c>
      <c r="B9" s="39">
        <f>Data!M2&amp;"/"&amp;Data!N2</f>
        <v/>
      </c>
      <c r="C9" s="51" t="n"/>
      <c r="D9" s="52">
        <f>Data!P2</f>
        <v/>
      </c>
      <c r="E9" s="111">
        <f>F9*1000</f>
        <v/>
      </c>
      <c r="F9" s="112">
        <f>C9*1000/D9/650</f>
        <v/>
      </c>
      <c r="G9" s="39">
        <f>$C$3</f>
        <v/>
      </c>
      <c r="H9" s="113">
        <f>G9/F9</f>
        <v/>
      </c>
      <c r="I9" s="55">
        <f>H9/2</f>
        <v/>
      </c>
      <c r="J9" s="41" t="n">
        <v>1</v>
      </c>
      <c r="K9" s="114" t="n"/>
      <c r="L9" s="0">
        <f>IF(A9&gt;0,A9,ROW(A9)-ROW($A$8))</f>
        <v/>
      </c>
      <c r="M9" s="43">
        <f>C9&gt;0</f>
        <v/>
      </c>
      <c r="N9" s="43" t="n"/>
      <c r="O9" s="43" t="n"/>
    </row>
    <row r="10">
      <c r="A10" s="0">
        <f>IF(AND(Data!B3&lt;&gt;"",Data!C3=""),A9,Data!C3)</f>
        <v/>
      </c>
      <c r="B10" s="39">
        <f>Data!M3&amp;"/"&amp;Data!N3</f>
        <v/>
      </c>
      <c r="C10" s="51" t="n"/>
      <c r="D10" s="52">
        <f>Data!P3</f>
        <v/>
      </c>
      <c r="E10" s="115">
        <f>F10*1000</f>
        <v/>
      </c>
      <c r="F10" s="112">
        <f>C10*1000/D10/650</f>
        <v/>
      </c>
      <c r="G10" s="39">
        <f>$C$3</f>
        <v/>
      </c>
      <c r="H10" s="113">
        <f>G10/F10</f>
        <v/>
      </c>
      <c r="I10" s="55">
        <f>H10/2</f>
        <v/>
      </c>
      <c r="J10" s="41" t="n">
        <v>1</v>
      </c>
      <c r="K10" s="114" t="n"/>
      <c r="L10" s="0">
        <f>IF(A10&gt;0,A10,ROW(A10)-ROW($A$8))</f>
        <v/>
      </c>
      <c r="M10" s="43">
        <f>C10&gt;0</f>
        <v/>
      </c>
      <c r="N10" s="43" t="n"/>
      <c r="O10" s="43" t="n"/>
    </row>
    <row r="11">
      <c r="A11" s="0">
        <f>IF(AND(Data!B4&lt;&gt;"",Data!C4=""),A10,Data!C4)</f>
        <v/>
      </c>
      <c r="B11" s="39">
        <f>Data!M4&amp;"/"&amp;Data!N4</f>
        <v/>
      </c>
      <c r="C11" s="37" t="n"/>
      <c r="D11" s="52">
        <f>Data!P4</f>
        <v/>
      </c>
      <c r="E11" s="115">
        <f>F11*1000</f>
        <v/>
      </c>
      <c r="F11" s="112">
        <f>C11*1000/D11/650</f>
        <v/>
      </c>
      <c r="G11" s="39">
        <f>$C$3</f>
        <v/>
      </c>
      <c r="H11" s="113">
        <f>G11/F11</f>
        <v/>
      </c>
      <c r="I11" s="55">
        <f>H11/2</f>
        <v/>
      </c>
      <c r="J11" s="41" t="n">
        <v>1</v>
      </c>
      <c r="K11" s="114" t="n"/>
      <c r="L11" s="0">
        <f>IF(A11&gt;0,A11,ROW(A11)-ROW($A$8))</f>
        <v/>
      </c>
      <c r="M11" s="43">
        <f>C11&gt;0</f>
        <v/>
      </c>
      <c r="N11" s="43" t="n"/>
      <c r="O11" s="43" t="n"/>
    </row>
    <row r="12">
      <c r="A12" s="0">
        <f>IF(AND(Data!B5&lt;&gt;"",Data!C5=""),A11,Data!C5)</f>
        <v/>
      </c>
      <c r="B12" s="39">
        <f>Data!M5&amp;"/"&amp;Data!N5</f>
        <v/>
      </c>
      <c r="C12" s="37" t="n"/>
      <c r="D12" s="52">
        <f>Data!P5</f>
        <v/>
      </c>
      <c r="E12" s="115">
        <f>F12*1000</f>
        <v/>
      </c>
      <c r="F12" s="112">
        <f>C12*1000/D12/650</f>
        <v/>
      </c>
      <c r="G12" s="39">
        <f>$C$3</f>
        <v/>
      </c>
      <c r="H12" s="113">
        <f>G12/F12</f>
        <v/>
      </c>
      <c r="I12" s="55">
        <f>H12/2</f>
        <v/>
      </c>
      <c r="J12" s="41" t="n">
        <v>1</v>
      </c>
      <c r="K12" s="114" t="n"/>
      <c r="L12" s="0">
        <f>IF(A12&gt;0,A12,ROW(A12)-ROW($A$8))</f>
        <v/>
      </c>
      <c r="M12" s="43">
        <f>C12&gt;0</f>
        <v/>
      </c>
      <c r="N12" s="43" t="n"/>
      <c r="O12" s="43" t="n"/>
    </row>
    <row r="13">
      <c r="A13" s="0">
        <f>IF(AND(Data!B6&lt;&gt;"",Data!C6=""),A12,Data!C6)</f>
        <v/>
      </c>
      <c r="B13" s="39">
        <f>Data!M6&amp;"/"&amp;Data!N6</f>
        <v/>
      </c>
      <c r="C13" s="37" t="n"/>
      <c r="D13" s="52">
        <f>Data!P6</f>
        <v/>
      </c>
      <c r="E13" s="115">
        <f>F13*1000</f>
        <v/>
      </c>
      <c r="F13" s="112">
        <f>C13*1000/D13/650</f>
        <v/>
      </c>
      <c r="G13" s="39">
        <f>$C$3</f>
        <v/>
      </c>
      <c r="H13" s="113">
        <f>G13/F13</f>
        <v/>
      </c>
      <c r="I13" s="55">
        <f>H13/2</f>
        <v/>
      </c>
      <c r="J13" s="41" t="n">
        <v>1</v>
      </c>
      <c r="K13" s="114" t="n"/>
      <c r="L13" s="0">
        <f>IF(A13&gt;0,A13,ROW(A13)-ROW($A$8))</f>
        <v/>
      </c>
      <c r="M13" s="43">
        <f>C13&gt;0</f>
        <v/>
      </c>
      <c r="N13" s="43" t="n"/>
      <c r="O13" s="43" t="n"/>
    </row>
    <row r="14">
      <c r="A14" s="0">
        <f>IF(AND(Data!B7&lt;&gt;"",Data!C7=""),A13,Data!C7)</f>
        <v/>
      </c>
      <c r="B14" s="39">
        <f>Data!M7&amp;"/"&amp;Data!N7</f>
        <v/>
      </c>
      <c r="C14" s="37" t="n"/>
      <c r="D14" s="52">
        <f>Data!P7</f>
        <v/>
      </c>
      <c r="E14" s="115">
        <f>F14*1000</f>
        <v/>
      </c>
      <c r="F14" s="112">
        <f>C14*1000/D14/650</f>
        <v/>
      </c>
      <c r="G14" s="39">
        <f>$C$3</f>
        <v/>
      </c>
      <c r="H14" s="113">
        <f>G14/F14</f>
        <v/>
      </c>
      <c r="I14" s="55">
        <f>H14/2</f>
        <v/>
      </c>
      <c r="J14" s="41" t="n">
        <v>1</v>
      </c>
      <c r="K14" s="114" t="n"/>
      <c r="L14" s="0">
        <f>IF(A14&gt;0,A14,ROW(A14)-ROW($A$8))</f>
        <v/>
      </c>
      <c r="M14" s="43">
        <f>C14&gt;0</f>
        <v/>
      </c>
      <c r="N14" s="43" t="n"/>
      <c r="O14" s="43" t="n"/>
    </row>
    <row r="15">
      <c r="A15" s="0">
        <f>IF(AND(Data!B8&lt;&gt;"",Data!C8=""),A14,Data!C8)</f>
        <v/>
      </c>
      <c r="B15" s="39">
        <f>Data!M8&amp;"/"&amp;Data!N8</f>
        <v/>
      </c>
      <c r="C15" s="37" t="n"/>
      <c r="D15" s="52">
        <f>Data!P8</f>
        <v/>
      </c>
      <c r="E15" s="115">
        <f>F15*1000</f>
        <v/>
      </c>
      <c r="F15" s="112">
        <f>C15*1000/D15/650</f>
        <v/>
      </c>
      <c r="G15" s="39">
        <f>$C$3</f>
        <v/>
      </c>
      <c r="H15" s="113">
        <f>G15/F15</f>
        <v/>
      </c>
      <c r="I15" s="55">
        <f>H15/2</f>
        <v/>
      </c>
      <c r="J15" s="41" t="n">
        <v>1</v>
      </c>
      <c r="K15" s="114" t="n"/>
      <c r="L15" s="0">
        <f>IF(A15&gt;0,A15,ROW(A15)-ROW($A$8))</f>
        <v/>
      </c>
      <c r="M15" s="43">
        <f>C15&gt;0</f>
        <v/>
      </c>
      <c r="N15" s="43" t="n"/>
      <c r="O15" s="43" t="n"/>
    </row>
    <row r="16">
      <c r="A16" s="0">
        <f>IF(AND(Data!B9&lt;&gt;"",Data!C9=""),A15,Data!C9)</f>
        <v/>
      </c>
      <c r="B16" s="39">
        <f>Data!M9&amp;"/"&amp;Data!N9</f>
        <v/>
      </c>
      <c r="C16" s="37" t="n"/>
      <c r="D16" s="52">
        <f>Data!P9</f>
        <v/>
      </c>
      <c r="E16" s="115">
        <f>F16*1000</f>
        <v/>
      </c>
      <c r="F16" s="112">
        <f>C16*1000/D16/650</f>
        <v/>
      </c>
      <c r="G16" s="39">
        <f>$C$3</f>
        <v/>
      </c>
      <c r="H16" s="113">
        <f>G16/F16</f>
        <v/>
      </c>
      <c r="I16" s="55">
        <f>H16/2</f>
        <v/>
      </c>
      <c r="J16" s="41" t="n">
        <v>1</v>
      </c>
      <c r="K16" s="114" t="n"/>
      <c r="L16" s="0">
        <f>IF(A16&gt;0,A16,ROW(A16)-ROW($A$8))</f>
        <v/>
      </c>
      <c r="M16" s="43">
        <f>C16&gt;0</f>
        <v/>
      </c>
      <c r="N16" s="43" t="n"/>
      <c r="O16" s="43" t="n"/>
    </row>
    <row r="17">
      <c r="A17" s="0">
        <f>IF(AND(Data!B10&lt;&gt;"",Data!C10=""),A16,Data!C10)</f>
        <v/>
      </c>
      <c r="B17" s="39">
        <f>Data!M10&amp;"/"&amp;Data!N10</f>
        <v/>
      </c>
      <c r="C17" s="37" t="n"/>
      <c r="D17" s="52">
        <f>Data!P10</f>
        <v/>
      </c>
      <c r="E17" s="115">
        <f>F17*1000</f>
        <v/>
      </c>
      <c r="F17" s="112">
        <f>C17*1000/D17/650</f>
        <v/>
      </c>
      <c r="G17" s="39">
        <f>$C$3</f>
        <v/>
      </c>
      <c r="H17" s="113">
        <f>G17/F17</f>
        <v/>
      </c>
      <c r="I17" s="55">
        <f>H17/2</f>
        <v/>
      </c>
      <c r="J17" s="41" t="n">
        <v>1</v>
      </c>
      <c r="K17" s="114" t="n"/>
      <c r="L17" s="0">
        <f>IF(A17&gt;0,A17,ROW(A17)-ROW($A$8))</f>
        <v/>
      </c>
      <c r="M17" s="43">
        <f>C17&gt;0</f>
        <v/>
      </c>
      <c r="N17" s="43" t="n"/>
      <c r="O17" s="43" t="n"/>
    </row>
    <row r="18">
      <c r="A18" s="0">
        <f>IF(AND(Data!B11&lt;&gt;"",Data!C11=""),A17,Data!C11)</f>
        <v/>
      </c>
      <c r="B18" s="39">
        <f>Data!M11&amp;"/"&amp;Data!N11</f>
        <v/>
      </c>
      <c r="C18" s="37" t="n"/>
      <c r="D18" s="52">
        <f>Data!P11</f>
        <v/>
      </c>
      <c r="E18" s="115">
        <f>F18*1000</f>
        <v/>
      </c>
      <c r="F18" s="112">
        <f>C18*1000/D18/650</f>
        <v/>
      </c>
      <c r="G18" s="39">
        <f>$C$3</f>
        <v/>
      </c>
      <c r="H18" s="113">
        <f>G18/F18</f>
        <v/>
      </c>
      <c r="I18" s="55">
        <f>H18/2</f>
        <v/>
      </c>
      <c r="J18" s="41" t="n">
        <v>1</v>
      </c>
      <c r="K18" s="114" t="n"/>
      <c r="L18" s="0">
        <f>IF(A18&gt;0,A18,ROW(A18)-ROW($A$8))</f>
        <v/>
      </c>
      <c r="M18" s="43">
        <f>C18&gt;0</f>
        <v/>
      </c>
      <c r="N18" s="43" t="n"/>
      <c r="O18" s="43" t="n"/>
    </row>
    <row r="19">
      <c r="A19" s="0">
        <f>IF(AND(Data!B12&lt;&gt;"",Data!C12=""),A18,Data!C12)</f>
        <v/>
      </c>
      <c r="B19" s="39">
        <f>Data!M12&amp;"/"&amp;Data!N12</f>
        <v/>
      </c>
      <c r="C19" s="37" t="n"/>
      <c r="D19" s="52">
        <f>Data!P12</f>
        <v/>
      </c>
      <c r="E19" s="115">
        <f>F19*1000</f>
        <v/>
      </c>
      <c r="F19" s="112">
        <f>C19*1000/D19/650</f>
        <v/>
      </c>
      <c r="G19" s="39">
        <f>$C$3</f>
        <v/>
      </c>
      <c r="H19" s="113">
        <f>G19/F19</f>
        <v/>
      </c>
      <c r="I19" s="55">
        <f>H19/2</f>
        <v/>
      </c>
      <c r="J19" s="41" t="n">
        <v>1</v>
      </c>
      <c r="K19" s="114" t="n"/>
      <c r="L19" s="0">
        <f>IF(A19&gt;0,A19,ROW(A19)-ROW($A$8))</f>
        <v/>
      </c>
      <c r="M19" s="43">
        <f>C19&gt;0</f>
        <v/>
      </c>
      <c r="N19" s="43" t="n"/>
      <c r="O19" s="43" t="n"/>
    </row>
    <row r="20">
      <c r="A20" s="0">
        <f>IF(AND(Data!B13&lt;&gt;"",Data!C13=""),A19,Data!C13)</f>
        <v/>
      </c>
      <c r="B20" s="39">
        <f>Data!M13&amp;"/"&amp;Data!N13</f>
        <v/>
      </c>
      <c r="C20" s="37" t="n"/>
      <c r="D20" s="52">
        <f>Data!P13</f>
        <v/>
      </c>
      <c r="E20" s="115">
        <f>F20*1000</f>
        <v/>
      </c>
      <c r="F20" s="112">
        <f>C20*1000/D20/650</f>
        <v/>
      </c>
      <c r="G20" s="39">
        <f>$C$3</f>
        <v/>
      </c>
      <c r="H20" s="113">
        <f>G20/F20</f>
        <v/>
      </c>
      <c r="I20" s="55">
        <f>H20/2</f>
        <v/>
      </c>
      <c r="J20" s="41" t="n">
        <v>1</v>
      </c>
      <c r="K20" s="114" t="n"/>
      <c r="L20" s="0">
        <f>IF(A20&gt;0,A20,ROW(A20)-ROW($A$8))</f>
        <v/>
      </c>
      <c r="M20" s="43">
        <f>C20&gt;0</f>
        <v/>
      </c>
      <c r="N20" s="43" t="n"/>
      <c r="O20" s="43" t="n"/>
    </row>
    <row r="21">
      <c r="H21" s="116" t="n"/>
    </row>
    <row r="22">
      <c r="B22" s="0" t="inlineStr">
        <is>
          <t>Backbone fragments</t>
        </is>
      </c>
      <c r="H22" s="116" t="n"/>
    </row>
    <row r="23" ht="56.25" customFormat="1" customHeight="1" s="31">
      <c r="B23" s="89" t="inlineStr">
        <is>
          <t>Sample name
(Backbone name)</t>
        </is>
      </c>
      <c r="C23" s="49" t="inlineStr">
        <is>
          <t xml:space="preserve">
Conc.</t>
        </is>
      </c>
      <c r="D23" s="106" t="inlineStr">
        <is>
          <t>Fragment length (bp)</t>
        </is>
      </c>
      <c r="E23" s="87" t="inlineStr">
        <is>
          <t>Fragment
stock conc.</t>
        </is>
      </c>
      <c r="F23" s="107" t="n"/>
      <c r="G23" s="88" t="inlineStr">
        <is>
          <t>Reaction conc.</t>
        </is>
      </c>
      <c r="H23" s="33" t="inlineStr">
        <is>
          <t>Volume needed
(final 20 uL)</t>
        </is>
      </c>
      <c r="I23" s="33" t="inlineStr">
        <is>
          <t>Volume needed
(final 10 uL)</t>
        </is>
      </c>
      <c r="J23" s="88" t="inlineStr">
        <is>
          <t>Dilution factor</t>
        </is>
      </c>
    </row>
    <row r="24" ht="19.5" customFormat="1" customHeight="1" s="93" thickBot="1">
      <c r="B24" s="108" t="n"/>
      <c r="C24" s="50" t="inlineStr">
        <is>
          <t>ng/uL</t>
        </is>
      </c>
      <c r="D24" s="108" t="n"/>
      <c r="E24" s="50" t="inlineStr">
        <is>
          <t>nmol/L</t>
        </is>
      </c>
      <c r="F24" s="50" t="inlineStr">
        <is>
          <t>pmol/uL</t>
        </is>
      </c>
      <c r="G24" s="35" t="inlineStr">
        <is>
          <t>pmol/uL</t>
        </is>
      </c>
      <c r="H24" s="35" t="inlineStr">
        <is>
          <t>uL</t>
        </is>
      </c>
      <c r="I24" s="35" t="inlineStr">
        <is>
          <t>uL</t>
        </is>
      </c>
      <c r="J24" s="109" t="n"/>
    </row>
    <row r="25" ht="19.5" customHeight="1" s="96" thickTop="1">
      <c r="A25" s="0">
        <f>Data!C2</f>
        <v/>
      </c>
      <c r="B25" s="23">
        <f>Data!J2</f>
        <v/>
      </c>
      <c r="C25" s="51" t="n"/>
      <c r="D25" s="52">
        <f>Data!L2</f>
        <v/>
      </c>
      <c r="E25" s="111">
        <f>F25*1000</f>
        <v/>
      </c>
      <c r="F25" s="112">
        <f>C25*1000/D25/650</f>
        <v/>
      </c>
      <c r="G25" s="39">
        <f>$C$3</f>
        <v/>
      </c>
      <c r="H25" s="113">
        <f>G25/F25</f>
        <v/>
      </c>
      <c r="I25" s="55">
        <f>H25/2</f>
        <v/>
      </c>
      <c r="J25" s="41" t="n">
        <v>1</v>
      </c>
      <c r="K25" s="114" t="n"/>
    </row>
    <row r="26">
      <c r="A26" s="0">
        <f>Data!C3</f>
        <v/>
      </c>
      <c r="B26" s="23">
        <f>Data!J3</f>
        <v/>
      </c>
      <c r="C26" s="51" t="n"/>
      <c r="D26" s="52">
        <f>Data!L3</f>
        <v/>
      </c>
      <c r="E26" s="111">
        <f>F26*1000</f>
        <v/>
      </c>
      <c r="F26" s="112">
        <f>C26*1000/D26/650</f>
        <v/>
      </c>
      <c r="G26" s="39">
        <f>$C$3</f>
        <v/>
      </c>
      <c r="H26" s="113">
        <f>G26/F26</f>
        <v/>
      </c>
      <c r="I26" s="55">
        <f>H26/2</f>
        <v/>
      </c>
      <c r="J26" s="41" t="n">
        <v>1</v>
      </c>
      <c r="K26" s="114" t="n"/>
    </row>
    <row r="27">
      <c r="A27" s="0">
        <f>Data!C4</f>
        <v/>
      </c>
      <c r="B27" s="23">
        <f>Data!J4</f>
        <v/>
      </c>
      <c r="C27" s="51" t="n"/>
      <c r="D27" s="52">
        <f>Data!L4</f>
        <v/>
      </c>
      <c r="E27" s="111">
        <f>F27*1000</f>
        <v/>
      </c>
      <c r="F27" s="112">
        <f>C27*1000/D27/650</f>
        <v/>
      </c>
      <c r="G27" s="39">
        <f>$C$3</f>
        <v/>
      </c>
      <c r="H27" s="113">
        <f>G27/F27</f>
        <v/>
      </c>
      <c r="I27" s="55">
        <f>H27/2</f>
        <v/>
      </c>
      <c r="J27" s="41" t="n">
        <v>1</v>
      </c>
      <c r="K27" s="114" t="n"/>
    </row>
    <row r="28">
      <c r="A28" s="0">
        <f>Data!C5</f>
        <v/>
      </c>
      <c r="B28" s="23">
        <f>Data!J5</f>
        <v/>
      </c>
      <c r="C28" s="51" t="n"/>
      <c r="D28" s="52">
        <f>Data!L5</f>
        <v/>
      </c>
      <c r="E28" s="111">
        <f>F28*1000</f>
        <v/>
      </c>
      <c r="F28" s="112">
        <f>C28*1000/D28/650</f>
        <v/>
      </c>
      <c r="G28" s="39">
        <f>$C$3</f>
        <v/>
      </c>
      <c r="H28" s="113">
        <f>G28/F28</f>
        <v/>
      </c>
      <c r="I28" s="55">
        <f>H28/2</f>
        <v/>
      </c>
      <c r="J28" s="41" t="n">
        <v>1</v>
      </c>
      <c r="K28" s="114" t="n"/>
    </row>
    <row r="29">
      <c r="A29" s="0">
        <f>Data!C6</f>
        <v/>
      </c>
      <c r="B29" s="23">
        <f>Data!J6</f>
        <v/>
      </c>
      <c r="C29" s="51" t="n"/>
      <c r="D29" s="52">
        <f>Data!L6</f>
        <v/>
      </c>
      <c r="E29" s="111">
        <f>F29*1000</f>
        <v/>
      </c>
      <c r="F29" s="112">
        <f>C29*1000/D29/650</f>
        <v/>
      </c>
      <c r="G29" s="39">
        <f>$C$3</f>
        <v/>
      </c>
      <c r="H29" s="113">
        <f>G29/F29</f>
        <v/>
      </c>
      <c r="I29" s="55">
        <f>H29/2</f>
        <v/>
      </c>
      <c r="J29" s="41" t="n">
        <v>1</v>
      </c>
      <c r="K29" s="114" t="n"/>
    </row>
    <row r="30">
      <c r="A30" s="0">
        <f>Data!C7</f>
        <v/>
      </c>
      <c r="B30" s="23">
        <f>Data!J7</f>
        <v/>
      </c>
      <c r="C30" s="51" t="n"/>
      <c r="D30" s="52">
        <f>Data!L7</f>
        <v/>
      </c>
      <c r="E30" s="111">
        <f>F30*1000</f>
        <v/>
      </c>
      <c r="F30" s="112">
        <f>C30*1000/D30/650</f>
        <v/>
      </c>
      <c r="G30" s="39">
        <f>$C$3</f>
        <v/>
      </c>
      <c r="H30" s="113">
        <f>G30/F30</f>
        <v/>
      </c>
      <c r="I30" s="55">
        <f>H30/2</f>
        <v/>
      </c>
      <c r="J30" s="41" t="n">
        <v>1</v>
      </c>
      <c r="K30" s="114" t="n"/>
    </row>
    <row r="31">
      <c r="A31" s="0">
        <f>Data!C8</f>
        <v/>
      </c>
      <c r="B31" s="23">
        <f>Data!J8</f>
        <v/>
      </c>
      <c r="C31" s="51" t="n"/>
      <c r="D31" s="52">
        <f>Data!L8</f>
        <v/>
      </c>
      <c r="E31" s="111">
        <f>F31*1000</f>
        <v/>
      </c>
      <c r="F31" s="112">
        <f>C31*1000/D31/650</f>
        <v/>
      </c>
      <c r="G31" s="39">
        <f>$C$3</f>
        <v/>
      </c>
      <c r="H31" s="113">
        <f>G31/F31</f>
        <v/>
      </c>
      <c r="I31" s="55">
        <f>H31/2</f>
        <v/>
      </c>
      <c r="J31" s="41" t="n">
        <v>1</v>
      </c>
      <c r="K31" s="114" t="n"/>
    </row>
    <row r="32">
      <c r="A32" s="0">
        <f>Data!C9</f>
        <v/>
      </c>
      <c r="B32" s="23">
        <f>Data!J9</f>
        <v/>
      </c>
      <c r="C32" s="51" t="n"/>
      <c r="D32" s="52">
        <f>Data!L9</f>
        <v/>
      </c>
      <c r="E32" s="111">
        <f>F32*1000</f>
        <v/>
      </c>
      <c r="F32" s="112">
        <f>C32*1000/D32/650</f>
        <v/>
      </c>
      <c r="G32" s="39">
        <f>$C$3</f>
        <v/>
      </c>
      <c r="H32" s="113">
        <f>G32/F32</f>
        <v/>
      </c>
      <c r="I32" s="55">
        <f>H32/2</f>
        <v/>
      </c>
      <c r="J32" s="41" t="n">
        <v>1</v>
      </c>
      <c r="K32" s="114" t="n"/>
    </row>
    <row r="33">
      <c r="A33" s="0">
        <f>Data!C10</f>
        <v/>
      </c>
      <c r="B33" s="23">
        <f>Data!J10</f>
        <v/>
      </c>
      <c r="C33" s="51" t="n"/>
      <c r="D33" s="52">
        <f>Data!L10</f>
        <v/>
      </c>
      <c r="E33" s="111">
        <f>F33*1000</f>
        <v/>
      </c>
      <c r="F33" s="112">
        <f>C33*1000/D33/650</f>
        <v/>
      </c>
      <c r="G33" s="39">
        <f>$C$3</f>
        <v/>
      </c>
      <c r="H33" s="113">
        <f>G33/F33</f>
        <v/>
      </c>
      <c r="I33" s="55">
        <f>H33/2</f>
        <v/>
      </c>
      <c r="J33" s="41" t="n">
        <v>1</v>
      </c>
      <c r="K33" s="114" t="n"/>
    </row>
    <row r="34">
      <c r="A34" s="0">
        <f>Data!C11</f>
        <v/>
      </c>
      <c r="B34" s="23">
        <f>Data!J11</f>
        <v/>
      </c>
      <c r="C34" s="51" t="n"/>
      <c r="D34" s="52">
        <f>Data!L11</f>
        <v/>
      </c>
      <c r="E34" s="111">
        <f>F34*1000</f>
        <v/>
      </c>
      <c r="F34" s="112">
        <f>C34*1000/D34/650</f>
        <v/>
      </c>
      <c r="G34" s="39">
        <f>$C$3</f>
        <v/>
      </c>
      <c r="H34" s="113">
        <f>G34/F34</f>
        <v/>
      </c>
      <c r="I34" s="55">
        <f>H34/2</f>
        <v/>
      </c>
      <c r="J34" s="41" t="n">
        <v>1</v>
      </c>
      <c r="K34" s="114" t="n"/>
    </row>
    <row r="35">
      <c r="A35" s="0">
        <f>Data!C12</f>
        <v/>
      </c>
      <c r="B35" s="23">
        <f>Data!J12</f>
        <v/>
      </c>
      <c r="C35" s="51" t="n"/>
      <c r="D35" s="52">
        <f>Data!L12</f>
        <v/>
      </c>
      <c r="E35" s="111">
        <f>F35*1000</f>
        <v/>
      </c>
      <c r="F35" s="112">
        <f>C35*1000/D35/650</f>
        <v/>
      </c>
      <c r="G35" s="39">
        <f>$C$3</f>
        <v/>
      </c>
      <c r="H35" s="113">
        <f>G35/F35</f>
        <v/>
      </c>
      <c r="I35" s="55">
        <f>H35/2</f>
        <v/>
      </c>
      <c r="J35" s="41" t="n">
        <v>1</v>
      </c>
      <c r="K35" s="114" t="n"/>
    </row>
    <row r="36">
      <c r="A36" s="0">
        <f>Data!C13</f>
        <v/>
      </c>
      <c r="B36" s="23">
        <f>Data!J13</f>
        <v/>
      </c>
      <c r="C36" s="51" t="n"/>
      <c r="D36" s="52">
        <f>Data!L13</f>
        <v/>
      </c>
      <c r="E36" s="111">
        <f>F36*1000</f>
        <v/>
      </c>
      <c r="F36" s="112">
        <f>C36*1000/D36/650</f>
        <v/>
      </c>
      <c r="G36" s="39">
        <f>$C$3</f>
        <v/>
      </c>
      <c r="H36" s="113">
        <f>G36/F36</f>
        <v/>
      </c>
      <c r="I36" s="55">
        <f>H36/2</f>
        <v/>
      </c>
      <c r="J36" s="41" t="n">
        <v>1</v>
      </c>
      <c r="K36" s="114" t="n"/>
    </row>
    <row r="37"/>
    <row r="38">
      <c r="C38" s="0" t="inlineStr">
        <is>
          <t>Reagent volume (uL)</t>
        </is>
      </c>
    </row>
    <row r="39">
      <c r="A39" s="45">
        <f>A9</f>
        <v/>
      </c>
      <c r="B39" s="46">
        <f>IF(M9=TRUE,"insert :","")</f>
        <v/>
      </c>
      <c r="C39" s="43">
        <f>IF(M9=TRUE,I9,"")</f>
        <v/>
      </c>
      <c r="D39" s="48">
        <f>IF($M39&lt;&gt;TRUE,"","backbone: ")</f>
        <v/>
      </c>
      <c r="E39" s="43">
        <f>IF($M39&lt;&gt;TRUE,"",I25)</f>
        <v/>
      </c>
      <c r="F39" s="48">
        <f>IF($M39&lt;&gt;TRUE,"","H2O: ")</f>
        <v/>
      </c>
      <c r="G39" s="43">
        <f>IF($M39&lt;&gt;TRUE,"",$A$3/2-E39-L39)</f>
        <v/>
      </c>
      <c r="H39" s="48">
        <f>IF($M39&lt;&gt;TRUE,"","2×HiFi: ")</f>
        <v/>
      </c>
      <c r="I39" s="48">
        <f>IF($M39&lt;&gt;TRUE,"",$A$3/2)</f>
        <v/>
      </c>
      <c r="J39" s="48">
        <f>IF($M39&lt;&gt;TRUE,"","→ 50°C, 60 min")</f>
        <v/>
      </c>
      <c r="L39" s="0">
        <f>IF(A40=A39,C39+L40,C39)</f>
        <v/>
      </c>
      <c r="M39" s="0">
        <f>AND(A39&gt;0,A38&lt;&gt;A39)</f>
        <v/>
      </c>
    </row>
    <row r="40">
      <c r="A40" s="45">
        <f>A10</f>
        <v/>
      </c>
      <c r="B40" s="46">
        <f>IF(M10=TRUE,"insert :","")</f>
        <v/>
      </c>
      <c r="C40" s="43">
        <f>IF(M10=TRUE,I10,"")</f>
        <v/>
      </c>
      <c r="D40" s="48">
        <f>IF($M40&lt;&gt;TRUE,"","backbone: ")</f>
        <v/>
      </c>
      <c r="E40" s="43">
        <f>IF($M40&lt;&gt;TRUE,"",I26)</f>
        <v/>
      </c>
      <c r="F40" s="48">
        <f>IF($M40&lt;&gt;TRUE,"","H2O: ")</f>
        <v/>
      </c>
      <c r="G40" s="43">
        <f>IF($M40&lt;&gt;TRUE,"",$A$3/2-E40-L40)</f>
        <v/>
      </c>
      <c r="H40" s="48">
        <f>IF($M40&lt;&gt;TRUE,"","2×HiFi: ")</f>
        <v/>
      </c>
      <c r="I40" s="48">
        <f>IF($M40&lt;&gt;TRUE,"",$A$3/2)</f>
        <v/>
      </c>
      <c r="J40" s="48">
        <f>IF($M40&lt;&gt;TRUE,"","→ 50°C, 60 min")</f>
        <v/>
      </c>
      <c r="L40" s="0">
        <f>IF(A41=A40,C40+L41,C40)</f>
        <v/>
      </c>
      <c r="M40" s="0">
        <f>AND(A40&gt;0,A39&lt;&gt;A40)</f>
        <v/>
      </c>
    </row>
    <row r="41">
      <c r="A41" s="45">
        <f>A11</f>
        <v/>
      </c>
      <c r="B41" s="46">
        <f>IF(M11=TRUE,"insert :","")</f>
        <v/>
      </c>
      <c r="C41" s="43">
        <f>IF(M11=TRUE,I11,"")</f>
        <v/>
      </c>
      <c r="D41" s="48">
        <f>IF($M41&lt;&gt;TRUE,"","backbone: ")</f>
        <v/>
      </c>
      <c r="E41" s="43">
        <f>IF($M41&lt;&gt;TRUE,"",I27)</f>
        <v/>
      </c>
      <c r="F41" s="48">
        <f>IF($M41&lt;&gt;TRUE,"","H2O: ")</f>
        <v/>
      </c>
      <c r="G41" s="43">
        <f>IF($M41&lt;&gt;TRUE,"",$A$3/2-E41-L41)</f>
        <v/>
      </c>
      <c r="H41" s="48">
        <f>IF($M41&lt;&gt;TRUE,"","2×HiFi: ")</f>
        <v/>
      </c>
      <c r="I41" s="48">
        <f>IF($M41&lt;&gt;TRUE,"",$A$3/2)</f>
        <v/>
      </c>
      <c r="J41" s="48">
        <f>IF($M41&lt;&gt;TRUE,"","→ 50°C, 60 min")</f>
        <v/>
      </c>
      <c r="L41" s="0">
        <f>IF(A42=A41,C41+L42,C41)</f>
        <v/>
      </c>
      <c r="M41" s="0">
        <f>AND(A41&gt;0,A40&lt;&gt;A41)</f>
        <v/>
      </c>
    </row>
    <row r="42">
      <c r="A42" s="45">
        <f>A12</f>
        <v/>
      </c>
      <c r="B42" s="46">
        <f>IF(M12=TRUE,"insert :","")</f>
        <v/>
      </c>
      <c r="C42" s="43">
        <f>IF(M12=TRUE,I12,"")</f>
        <v/>
      </c>
      <c r="D42" s="48">
        <f>IF($M42&lt;&gt;TRUE,"","backbone: ")</f>
        <v/>
      </c>
      <c r="E42" s="43">
        <f>IF($M42&lt;&gt;TRUE,"",I28)</f>
        <v/>
      </c>
      <c r="F42" s="48">
        <f>IF($M42&lt;&gt;TRUE,"","H2O: ")</f>
        <v/>
      </c>
      <c r="G42" s="43">
        <f>IF($M42&lt;&gt;TRUE,"",$A$3/2-E42-L42)</f>
        <v/>
      </c>
      <c r="H42" s="48">
        <f>IF($M42&lt;&gt;TRUE,"","2×HiFi: ")</f>
        <v/>
      </c>
      <c r="I42" s="48">
        <f>IF($M42&lt;&gt;TRUE,"",$A$3/2)</f>
        <v/>
      </c>
      <c r="J42" s="48">
        <f>IF($M42&lt;&gt;TRUE,"","→ 50°C, 60 min")</f>
        <v/>
      </c>
      <c r="L42" s="0">
        <f>IF(A43=A42,C42+L43,C42)</f>
        <v/>
      </c>
      <c r="M42" s="0">
        <f>AND(A42&gt;0,A41&lt;&gt;A42)</f>
        <v/>
      </c>
    </row>
    <row r="43">
      <c r="A43" s="45">
        <f>A13</f>
        <v/>
      </c>
      <c r="B43" s="46">
        <f>IF(M13=TRUE,"insert :","")</f>
        <v/>
      </c>
      <c r="C43" s="43">
        <f>IF(M13=TRUE,I13,"")</f>
        <v/>
      </c>
      <c r="D43" s="48">
        <f>IF($M43&lt;&gt;TRUE,"","backbone: ")</f>
        <v/>
      </c>
      <c r="E43" s="43">
        <f>IF($M43&lt;&gt;TRUE,"",I29)</f>
        <v/>
      </c>
      <c r="F43" s="48">
        <f>IF($M43&lt;&gt;TRUE,"","H2O: ")</f>
        <v/>
      </c>
      <c r="G43" s="43">
        <f>IF($M43&lt;&gt;TRUE,"",$A$3/2-E43-L43)</f>
        <v/>
      </c>
      <c r="H43" s="48">
        <f>IF($M43&lt;&gt;TRUE,"","2×HiFi: ")</f>
        <v/>
      </c>
      <c r="I43" s="48">
        <f>IF($M43&lt;&gt;TRUE,"",$A$3/2)</f>
        <v/>
      </c>
      <c r="J43" s="48">
        <f>IF($M43&lt;&gt;TRUE,"","→ 50°C, 60 min")</f>
        <v/>
      </c>
      <c r="L43" s="0">
        <f>IF(A44=A43,C43+L44,C43)</f>
        <v/>
      </c>
      <c r="M43" s="0">
        <f>AND(A43&gt;0,A42&lt;&gt;A43)</f>
        <v/>
      </c>
    </row>
    <row r="44">
      <c r="A44" s="45">
        <f>A14</f>
        <v/>
      </c>
      <c r="B44" s="46">
        <f>IF(M14=TRUE,"insert :","")</f>
        <v/>
      </c>
      <c r="C44" s="43">
        <f>IF(M14=TRUE,I14,"")</f>
        <v/>
      </c>
      <c r="D44" s="48">
        <f>IF($M44&lt;&gt;TRUE,"","backbone: ")</f>
        <v/>
      </c>
      <c r="E44" s="43">
        <f>IF($M44&lt;&gt;TRUE,"",I30)</f>
        <v/>
      </c>
      <c r="F44" s="48">
        <f>IF($M44&lt;&gt;TRUE,"","H2O: ")</f>
        <v/>
      </c>
      <c r="G44" s="43">
        <f>IF($M44&lt;&gt;TRUE,"",$A$3/2-E44-L44)</f>
        <v/>
      </c>
      <c r="H44" s="48">
        <f>IF($M44&lt;&gt;TRUE,"","2×HiFi: ")</f>
        <v/>
      </c>
      <c r="I44" s="48">
        <f>IF($M44&lt;&gt;TRUE,"",$A$3/2)</f>
        <v/>
      </c>
      <c r="J44" s="48">
        <f>IF($M44&lt;&gt;TRUE,"","→ 50°C, 60 min")</f>
        <v/>
      </c>
      <c r="L44" s="0">
        <f>IF(A45=A44,C44+L45,C44)</f>
        <v/>
      </c>
      <c r="M44" s="0">
        <f>AND(A44&gt;0,A43&lt;&gt;A44)</f>
        <v/>
      </c>
    </row>
    <row r="45">
      <c r="A45" s="45">
        <f>A15</f>
        <v/>
      </c>
      <c r="B45" s="46">
        <f>IF(M15=TRUE,"insert :","")</f>
        <v/>
      </c>
      <c r="C45" s="43">
        <f>IF(M15=TRUE,I15,"")</f>
        <v/>
      </c>
      <c r="D45" s="48">
        <f>IF($M45&lt;&gt;TRUE,"","backbone: ")</f>
        <v/>
      </c>
      <c r="E45" s="43">
        <f>IF($M45&lt;&gt;TRUE,"",I31)</f>
        <v/>
      </c>
      <c r="F45" s="48">
        <f>IF($M45&lt;&gt;TRUE,"","H2O: ")</f>
        <v/>
      </c>
      <c r="G45" s="43">
        <f>IF($M45&lt;&gt;TRUE,"",$A$3/2-E45-L45)</f>
        <v/>
      </c>
      <c r="H45" s="48">
        <f>IF($M45&lt;&gt;TRUE,"","2×HiFi: ")</f>
        <v/>
      </c>
      <c r="I45" s="48">
        <f>IF($M45&lt;&gt;TRUE,"",$A$3/2)</f>
        <v/>
      </c>
      <c r="J45" s="48">
        <f>IF($M45&lt;&gt;TRUE,"","→ 50°C, 60 min")</f>
        <v/>
      </c>
      <c r="L45" s="0">
        <f>IF(A46=A45,C45+L46,C45)</f>
        <v/>
      </c>
      <c r="M45" s="0">
        <f>AND(A45&gt;0,A44&lt;&gt;A45)</f>
        <v/>
      </c>
    </row>
    <row r="46">
      <c r="A46" s="45">
        <f>A16</f>
        <v/>
      </c>
      <c r="B46" s="46">
        <f>IF(M16=TRUE,"insert :","")</f>
        <v/>
      </c>
      <c r="C46" s="43">
        <f>IF(M16=TRUE,I16,"")</f>
        <v/>
      </c>
      <c r="D46" s="48">
        <f>IF($M46&lt;&gt;TRUE,"","backbone: ")</f>
        <v/>
      </c>
      <c r="E46" s="43">
        <f>IF($M46&lt;&gt;TRUE,"",I32)</f>
        <v/>
      </c>
      <c r="F46" s="48">
        <f>IF($M46&lt;&gt;TRUE,"","H2O: ")</f>
        <v/>
      </c>
      <c r="G46" s="43">
        <f>IF($M46&lt;&gt;TRUE,"",$A$3/2-E46-L46)</f>
        <v/>
      </c>
      <c r="H46" s="48">
        <f>IF($M46&lt;&gt;TRUE,"","2×HiFi: ")</f>
        <v/>
      </c>
      <c r="I46" s="48">
        <f>IF($M46&lt;&gt;TRUE,"",$A$3/2)</f>
        <v/>
      </c>
      <c r="J46" s="48">
        <f>IF($M46&lt;&gt;TRUE,"","→ 50°C, 60 min")</f>
        <v/>
      </c>
      <c r="L46" s="0">
        <f>IF(A47=A46,C46+L47,C46)</f>
        <v/>
      </c>
      <c r="M46" s="0">
        <f>AND(A46&gt;0,A45&lt;&gt;A46)</f>
        <v/>
      </c>
    </row>
    <row r="47">
      <c r="A47" s="45">
        <f>A17</f>
        <v/>
      </c>
      <c r="B47" s="46">
        <f>IF(M17=TRUE,"insert :","")</f>
        <v/>
      </c>
      <c r="C47" s="43">
        <f>IF(M17=TRUE,I17,"")</f>
        <v/>
      </c>
      <c r="D47" s="48">
        <f>IF($M47&lt;&gt;TRUE,"","backbone: ")</f>
        <v/>
      </c>
      <c r="E47" s="43">
        <f>IF($M47&lt;&gt;TRUE,"",I33)</f>
        <v/>
      </c>
      <c r="F47" s="48">
        <f>IF($M47&lt;&gt;TRUE,"","H2O: ")</f>
        <v/>
      </c>
      <c r="G47" s="43">
        <f>IF($M47&lt;&gt;TRUE,"",$A$3/2-E47-L47)</f>
        <v/>
      </c>
      <c r="H47" s="48">
        <f>IF($M47&lt;&gt;TRUE,"","2×HiFi: ")</f>
        <v/>
      </c>
      <c r="I47" s="48">
        <f>IF($M47&lt;&gt;TRUE,"",$A$3/2)</f>
        <v/>
      </c>
      <c r="J47" s="48">
        <f>IF($M47&lt;&gt;TRUE,"","→ 50°C, 60 min")</f>
        <v/>
      </c>
      <c r="L47" s="0">
        <f>IF(A48=A47,C47+L48,C47)</f>
        <v/>
      </c>
      <c r="M47" s="0">
        <f>AND(A47&gt;0,A46&lt;&gt;A47)</f>
        <v/>
      </c>
    </row>
    <row r="48">
      <c r="A48" s="45">
        <f>A18</f>
        <v/>
      </c>
      <c r="B48" s="46">
        <f>IF(M18=TRUE,"insert :","")</f>
        <v/>
      </c>
      <c r="C48" s="43">
        <f>IF(M18=TRUE,I18,"")</f>
        <v/>
      </c>
      <c r="D48" s="48">
        <f>IF($M48&lt;&gt;TRUE,"","backbone: ")</f>
        <v/>
      </c>
      <c r="E48" s="43">
        <f>IF($M48&lt;&gt;TRUE,"",I34)</f>
        <v/>
      </c>
      <c r="F48" s="48">
        <f>IF($M48&lt;&gt;TRUE,"","H2O: ")</f>
        <v/>
      </c>
      <c r="G48" s="43">
        <f>IF($M48&lt;&gt;TRUE,"",$A$3/2-E48-L48)</f>
        <v/>
      </c>
      <c r="H48" s="48">
        <f>IF($M48&lt;&gt;TRUE,"","2×HiFi: ")</f>
        <v/>
      </c>
      <c r="I48" s="48">
        <f>IF($M48&lt;&gt;TRUE,"",$A$3/2)</f>
        <v/>
      </c>
      <c r="J48" s="48">
        <f>IF($M48&lt;&gt;TRUE,"","→ 50°C, 60 min")</f>
        <v/>
      </c>
      <c r="L48" s="0">
        <f>IF(A49=A48,C48+L49,C48)</f>
        <v/>
      </c>
      <c r="M48" s="0">
        <f>AND(A48&gt;0,A47&lt;&gt;A48)</f>
        <v/>
      </c>
    </row>
    <row r="49">
      <c r="A49" s="45">
        <f>A19</f>
        <v/>
      </c>
      <c r="B49" s="46">
        <f>IF(M19=TRUE,"insert :","")</f>
        <v/>
      </c>
      <c r="C49" s="43">
        <f>IF(M19=TRUE,I19,"")</f>
        <v/>
      </c>
      <c r="D49" s="48">
        <f>IF($M49&lt;&gt;TRUE,"","backbone: ")</f>
        <v/>
      </c>
      <c r="E49" s="43">
        <f>IF($M49&lt;&gt;TRUE,"",I35)</f>
        <v/>
      </c>
      <c r="F49" s="48">
        <f>IF($M49&lt;&gt;TRUE,"","H2O: ")</f>
        <v/>
      </c>
      <c r="G49" s="43">
        <f>IF($M49&lt;&gt;TRUE,"",$A$3/2-E49-L49)</f>
        <v/>
      </c>
      <c r="H49" s="48">
        <f>IF($M49&lt;&gt;TRUE,"","2×HiFi: ")</f>
        <v/>
      </c>
      <c r="I49" s="48">
        <f>IF($M49&lt;&gt;TRUE,"",$A$3/2)</f>
        <v/>
      </c>
      <c r="J49" s="48">
        <f>IF($M49&lt;&gt;TRUE,"","→ 50°C, 60 min")</f>
        <v/>
      </c>
      <c r="L49" s="0">
        <f>IF(A50=A49,C49+L50,C49)</f>
        <v/>
      </c>
      <c r="M49" s="0">
        <f>AND(A49&gt;0,A48&lt;&gt;A49)</f>
        <v/>
      </c>
    </row>
    <row r="50">
      <c r="A50" s="45">
        <f>A20</f>
        <v/>
      </c>
      <c r="B50" s="46">
        <f>IF(M20=TRUE,"insert :","")</f>
        <v/>
      </c>
      <c r="C50" s="43">
        <f>IF(M20=TRUE,I20,"")</f>
        <v/>
      </c>
      <c r="D50" s="48">
        <f>IF($M50&lt;&gt;TRUE,"","backbone: ")</f>
        <v/>
      </c>
      <c r="E50" s="43">
        <f>IF($M50&lt;&gt;TRUE,"",I36)</f>
        <v/>
      </c>
      <c r="F50" s="48">
        <f>IF($M50&lt;&gt;TRUE,"","H2O: ")</f>
        <v/>
      </c>
      <c r="G50" s="43">
        <f>IF($M50&lt;&gt;TRUE,"",$A$3/2-E50-L50)</f>
        <v/>
      </c>
      <c r="H50" s="48">
        <f>IF($M50&lt;&gt;TRUE,"","2×HiFi: ")</f>
        <v/>
      </c>
      <c r="I50" s="48">
        <f>IF($M50&lt;&gt;TRUE,"",$A$3/2)</f>
        <v/>
      </c>
      <c r="J50" s="48">
        <f>IF($M50&lt;&gt;TRUE,"","→ 50°C, 60 min")</f>
        <v/>
      </c>
      <c r="L50" s="0">
        <f>IF(A51=A50,C50+L51,C50)</f>
        <v/>
      </c>
      <c r="M50" s="0">
        <f>AND(A50&gt;0,A49&lt;&gt;A50)</f>
        <v/>
      </c>
    </row>
    <row r="51">
      <c r="A51" s="45" t="n"/>
      <c r="B51" s="46" t="n"/>
      <c r="C51" s="43" t="n"/>
      <c r="D51" s="46" t="n"/>
      <c r="E51" s="43" t="n"/>
      <c r="F51" s="46" t="n"/>
      <c r="G51" s="43" t="n"/>
      <c r="H51" s="46" t="n"/>
      <c r="I51" s="117" t="n"/>
    </row>
    <row r="52">
      <c r="A52" s="45" t="n"/>
      <c r="B52" s="46" t="n"/>
      <c r="C52" s="43" t="n"/>
      <c r="D52" s="46" t="n"/>
      <c r="E52" s="43" t="n"/>
      <c r="F52" s="46" t="n"/>
      <c r="G52" s="43" t="n"/>
      <c r="H52" s="46" t="n"/>
      <c r="I52" s="117" t="n"/>
      <c r="M52" s="110" t="n"/>
    </row>
    <row r="53">
      <c r="A53" s="45" t="n"/>
      <c r="B53" s="46" t="n"/>
      <c r="C53" s="43" t="n"/>
      <c r="D53" s="46" t="n"/>
      <c r="E53" s="43" t="n"/>
      <c r="F53" s="46" t="n"/>
      <c r="G53" s="43" t="n"/>
      <c r="H53" s="46" t="n"/>
      <c r="I53" s="117" t="n"/>
      <c r="M53" s="110" t="n"/>
    </row>
    <row r="54">
      <c r="A54" s="45" t="n"/>
      <c r="B54" s="46" t="n"/>
      <c r="C54" s="43" t="n"/>
      <c r="D54" s="46" t="n"/>
      <c r="E54" s="43" t="n"/>
      <c r="F54" s="46" t="n"/>
      <c r="G54" s="43" t="n"/>
      <c r="H54" s="46" t="n"/>
      <c r="I54" s="117" t="n"/>
      <c r="M54" s="110" t="n"/>
    </row>
    <row r="55">
      <c r="A55" s="45" t="n"/>
      <c r="B55" s="46" t="n"/>
      <c r="C55" s="43" t="n"/>
      <c r="D55" s="46" t="n"/>
      <c r="E55" s="43" t="n"/>
      <c r="F55" s="46" t="n"/>
      <c r="G55" s="43" t="n"/>
      <c r="H55" s="46" t="n"/>
      <c r="I55" s="117" t="n"/>
      <c r="M55" s="110" t="n"/>
    </row>
    <row r="56">
      <c r="A56" s="45" t="n"/>
      <c r="B56" s="46" t="n"/>
      <c r="C56" s="43" t="n"/>
      <c r="D56" s="46" t="n"/>
      <c r="E56" s="43" t="n"/>
      <c r="F56" s="46" t="n"/>
      <c r="G56" s="43" t="n"/>
      <c r="H56" s="46" t="n"/>
      <c r="I56" s="117" t="n"/>
      <c r="M56" s="110" t="n"/>
    </row>
    <row r="57">
      <c r="A57" s="45" t="n"/>
      <c r="B57" s="46" t="n"/>
      <c r="C57" s="43" t="n"/>
      <c r="D57" s="46" t="n"/>
      <c r="E57" s="43" t="n"/>
      <c r="F57" s="46" t="n"/>
      <c r="G57" s="43" t="n"/>
      <c r="H57" s="46" t="n"/>
      <c r="I57" s="117" t="n"/>
      <c r="M57" s="110" t="n"/>
    </row>
    <row r="58">
      <c r="A58" s="45" t="n"/>
      <c r="B58" s="46" t="n"/>
      <c r="C58" s="43" t="n"/>
      <c r="D58" s="46" t="n"/>
      <c r="E58" s="43" t="n"/>
      <c r="F58" s="46" t="n"/>
      <c r="G58" s="43" t="n"/>
      <c r="H58" s="46" t="n"/>
      <c r="I58" s="117" t="n"/>
      <c r="M58" s="110" t="n"/>
    </row>
    <row r="59">
      <c r="A59" s="45" t="n"/>
      <c r="B59" s="46" t="n"/>
      <c r="C59" s="43" t="n"/>
      <c r="D59" s="46" t="n"/>
      <c r="E59" s="43" t="n"/>
      <c r="F59" s="46" t="n"/>
      <c r="G59" s="43" t="n"/>
      <c r="H59" s="46" t="n"/>
      <c r="I59" s="117" t="n"/>
      <c r="M59" s="110" t="n"/>
    </row>
    <row r="60">
      <c r="A60" s="45" t="n"/>
      <c r="B60" s="46" t="n"/>
      <c r="C60" s="43" t="n"/>
      <c r="D60" s="46" t="n"/>
      <c r="E60" s="43" t="n"/>
      <c r="F60" s="46" t="n"/>
      <c r="G60" s="43" t="n"/>
      <c r="H60" s="46" t="n"/>
      <c r="I60" s="117" t="n"/>
      <c r="M60" s="110" t="n"/>
    </row>
  </sheetData>
  <mergeCells count="10">
    <mergeCell ref="B23:B24"/>
    <mergeCell ref="C2:D2"/>
    <mergeCell ref="E7:F7"/>
    <mergeCell ref="E2:F2"/>
    <mergeCell ref="D7:D8"/>
    <mergeCell ref="D23:D24"/>
    <mergeCell ref="E23:F23"/>
    <mergeCell ref="B7:B8"/>
    <mergeCell ref="J7:J8"/>
    <mergeCell ref="J23:J24"/>
  </mergeCells>
  <pageMargins left="0.7086614173228347" right="0.9055118110236221" top="0.7480314960629921" bottom="0.7480314960629921" header="0.7086614173228347" footer="0.3149606299212598"/>
  <pageSetup orientation="portrait" paperSize="9" scale="58" fitToHeight="0"/>
  <headerFooter>
    <oddHeader>&amp;C&amp;12            &amp;A&amp;R&amp;11 &amp;D                     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tabSelected="0" workbookViewId="0">
      <selection activeCell="A1" sqref="A1"/>
    </sheetView>
  </sheetViews>
  <sheetFormatPr baseColWidth="8" defaultRowHeight="18.75"/>
  <cols>
    <col width="4.625" customWidth="1" style="96" min="1" max="1"/>
    <col width="58.625" customWidth="1" style="96" min="2" max="2"/>
    <col width="46.625" customWidth="1" style="96" min="3" max="3"/>
    <col width="13.625" customWidth="1" style="96" min="4" max="4"/>
    <col width="20.625" customWidth="1" style="96" min="5" max="6"/>
  </cols>
  <sheetData>
    <row r="1">
      <c r="A1" s="100">
        <f>TODAY()</f>
        <v/>
      </c>
      <c r="C1" s="2" t="inlineStr">
        <is>
          <t>Cloning with HiFi assembly</t>
        </is>
      </c>
    </row>
    <row r="2"/>
    <row r="3">
      <c r="A3" s="63" t="inlineStr">
        <is>
          <t>3. Transformation</t>
        </is>
      </c>
    </row>
    <row r="4"/>
    <row r="5">
      <c r="B5" s="2" t="inlineStr">
        <is>
          <t>Samples</t>
        </is>
      </c>
      <c r="C5" s="64">
        <f>COUNTA(Data!C2:C13)</f>
        <v/>
      </c>
      <c r="D5" s="65" t="inlineStr">
        <is>
          <t>samples</t>
        </is>
      </c>
    </row>
    <row r="6">
      <c r="B6" s="2" t="inlineStr">
        <is>
          <t>DH5α competent cells</t>
        </is>
      </c>
      <c r="C6" s="64">
        <f>C5*25</f>
        <v/>
      </c>
      <c r="D6" s="65" t="inlineStr">
        <is>
          <t>uL</t>
        </is>
      </c>
      <c r="E6" s="66" t="inlineStr">
        <is>
          <t>25 uL/sample</t>
        </is>
      </c>
    </row>
    <row r="7">
      <c r="B7" s="2" t="inlineStr">
        <is>
          <t>Recovery medium</t>
        </is>
      </c>
      <c r="C7" s="64">
        <f>C5*900</f>
        <v/>
      </c>
      <c r="D7" s="65" t="inlineStr">
        <is>
          <t>uL</t>
        </is>
      </c>
      <c r="E7" s="66" t="inlineStr">
        <is>
          <t>900 uL/sample</t>
        </is>
      </c>
    </row>
    <row r="8">
      <c r="B8" s="2" t="inlineStr">
        <is>
          <t>LB+Amp plate</t>
        </is>
      </c>
      <c r="C8" s="64">
        <f>ROUNDUP(C5/4,0)</f>
        <v/>
      </c>
      <c r="D8" s="65" t="inlineStr">
        <is>
          <t>plates</t>
        </is>
      </c>
      <c r="E8" s="66" t="inlineStr">
        <is>
          <t>4-section plates can be used</t>
        </is>
      </c>
    </row>
    <row r="9"/>
    <row r="10">
      <c r="A10" s="93" t="inlineStr">
        <is>
          <t>□</t>
        </is>
      </c>
      <c r="B10" s="0" t="inlineStr">
        <is>
          <t>Take the required number of DH5α competent cells out of the -80°C freezer</t>
        </is>
      </c>
    </row>
    <row r="11">
      <c r="B11" s="66" t="inlineStr">
        <is>
          <t>Start thawing in your hand while carrying, then thaw completely at room temperature</t>
        </is>
      </c>
    </row>
    <row r="12">
      <c r="A12" s="93" t="inlineStr">
        <is>
          <t>□</t>
        </is>
      </c>
      <c r="B12" s="0" t="inlineStr">
        <is>
          <t>Dispense 25 uL of DH5α per tube and add 2 uL of the assembly mix after the reaction</t>
        </is>
      </c>
    </row>
    <row r="13">
      <c r="A13" s="93" t="inlineStr">
        <is>
          <t>□</t>
        </is>
      </c>
      <c r="B13" s="0" t="inlineStr">
        <is>
          <t>Mix well by vortexing for 1~10 sec</t>
        </is>
      </c>
    </row>
    <row r="14">
      <c r="A14" s="93" t="inlineStr">
        <is>
          <t>□</t>
        </is>
      </c>
      <c r="B14" s="0" t="inlineStr">
        <is>
          <t>0~10 min on ice (optional)</t>
        </is>
      </c>
    </row>
    <row r="15">
      <c r="B15" s="66" t="inlineStr">
        <is>
          <t>Add the following 2 steps if needed</t>
        </is>
      </c>
    </row>
    <row r="16">
      <c r="A16" s="93" t="inlineStr">
        <is>
          <t>□</t>
        </is>
      </c>
      <c r="B16" s="0" t="inlineStr">
        <is>
          <t>Heat shock: 42°C, 45~90 sec</t>
        </is>
      </c>
    </row>
    <row r="17">
      <c r="A17" s="93" t="inlineStr">
        <is>
          <t>□</t>
        </is>
      </c>
      <c r="B17" s="0" t="inlineStr">
        <is>
          <t>1~5 min on ice (required in this case)</t>
        </is>
      </c>
    </row>
    <row r="18">
      <c r="A18" s="93" t="inlineStr">
        <is>
          <t>□</t>
        </is>
      </c>
      <c r="B18" s="0" t="inlineStr">
        <is>
          <t>Add 900 uL of recovery medium and incubate at 200 rpm, 37°C for 30~60 min</t>
        </is>
      </c>
    </row>
    <row r="19">
      <c r="A19" s="93" t="inlineStr">
        <is>
          <t>□</t>
        </is>
      </c>
      <c r="B19" s="0" t="inlineStr">
        <is>
          <t>Add ~100 uL to a pre-warmed plate and spread it unevenly on purpose</t>
        </is>
      </c>
    </row>
    <row r="20">
      <c r="A20" s="93" t="inlineStr">
        <is>
          <t>□</t>
        </is>
      </c>
      <c r="B20" s="0" t="inlineStr">
        <is>
          <t>37°C, overnight</t>
        </is>
      </c>
    </row>
    <row r="21">
      <c r="B21" s="66" t="inlineStr">
        <is>
          <t>If more than 2 days pass, run a program of 37°C, 24 hr  →  4°C, hold</t>
        </is>
      </c>
    </row>
    <row r="22"/>
    <row r="23"/>
    <row r="24">
      <c r="B24" s="2" t="inlineStr">
        <is>
          <t>Sample list</t>
        </is>
      </c>
    </row>
    <row r="25" ht="36" customHeight="1" s="96">
      <c r="A25" s="68" t="n"/>
      <c r="B25" s="68" t="inlineStr">
        <is>
          <t>Sub. No.</t>
        </is>
      </c>
      <c r="C25" s="68" t="inlineStr">
        <is>
          <t>Plasmid name</t>
        </is>
      </c>
      <c r="D25" s="68" t="inlineStr">
        <is>
          <t>Plate</t>
        </is>
      </c>
      <c r="E25" s="68" t="inlineStr">
        <is>
          <t>Colony</t>
        </is>
      </c>
      <c r="F25" s="68" t="inlineStr">
        <is>
          <t>Memo</t>
        </is>
      </c>
    </row>
    <row r="26">
      <c r="A26" s="95">
        <f>IF(Data!C2="","","□")</f>
        <v/>
      </c>
      <c r="B26" s="95">
        <f>IF(Data!C2="","",Data!C2)</f>
        <v/>
      </c>
      <c r="C26" s="82">
        <f>IF(Data!C2="","",Data!G2)</f>
        <v/>
      </c>
      <c r="D26" s="95">
        <f>IF(Data!C2="","",ROUNDUP((ROW()-25)/4,0)&amp;"-"&amp;MOD(ROW()-26,4)+1)</f>
        <v/>
      </c>
      <c r="E26" s="94" t="n"/>
      <c r="F26" s="94" t="n"/>
    </row>
    <row r="27">
      <c r="A27" s="95">
        <f>IF(Data!C3="","","□")</f>
        <v/>
      </c>
      <c r="B27" s="95">
        <f>IF(Data!C3="","",Data!C3)</f>
        <v/>
      </c>
      <c r="C27" s="82">
        <f>IF(Data!C3="","",Data!G3)</f>
        <v/>
      </c>
      <c r="D27" s="95">
        <f>IF(Data!C3="","",ROUNDUP((ROW()-25)/4,0)&amp;"-"&amp;MOD(ROW()-26,4)+1)</f>
        <v/>
      </c>
      <c r="E27" s="94" t="n"/>
      <c r="F27" s="94" t="n"/>
    </row>
    <row r="28">
      <c r="A28" s="95">
        <f>IF(Data!C4="","","□")</f>
        <v/>
      </c>
      <c r="B28" s="95">
        <f>IF(Data!C4="","",Data!C4)</f>
        <v/>
      </c>
      <c r="C28" s="82">
        <f>IF(Data!C4="","",Data!G4)</f>
        <v/>
      </c>
      <c r="D28" s="95">
        <f>IF(Data!C4="","",ROUNDUP((ROW()-25)/4,0)&amp;"-"&amp;MOD(ROW()-26,4)+1)</f>
        <v/>
      </c>
      <c r="E28" s="94" t="n"/>
      <c r="F28" s="94" t="n"/>
    </row>
    <row r="29">
      <c r="A29" s="95">
        <f>IF(Data!C5="","","□")</f>
        <v/>
      </c>
      <c r="B29" s="95">
        <f>IF(Data!C5="","",Data!C5)</f>
        <v/>
      </c>
      <c r="C29" s="82">
        <f>IF(Data!C5="","",Data!G5)</f>
        <v/>
      </c>
      <c r="D29" s="95">
        <f>IF(Data!C5="","",ROUNDUP((ROW()-25)/4,0)&amp;"-"&amp;MOD(ROW()-26,4)+1)</f>
        <v/>
      </c>
      <c r="E29" s="94" t="n"/>
      <c r="F29" s="94" t="n"/>
    </row>
    <row r="30">
      <c r="A30" s="95">
        <f>IF(Data!C6="","","□")</f>
        <v/>
      </c>
      <c r="B30" s="95">
        <f>IF(Data!C6="","",Data!C6)</f>
        <v/>
      </c>
      <c r="C30" s="82">
        <f>IF(Data!C6="","",Data!G6)</f>
        <v/>
      </c>
      <c r="D30" s="95">
        <f>IF(Data!C6="","",ROUNDUP((ROW()-25)/4,0)&amp;"-"&amp;MOD(ROW()-26,4)+1)</f>
        <v/>
      </c>
      <c r="E30" s="94" t="n"/>
      <c r="F30" s="94" t="n"/>
    </row>
    <row r="31">
      <c r="A31" s="95">
        <f>IF(Data!C7="","","□")</f>
        <v/>
      </c>
      <c r="B31" s="95">
        <f>IF(Data!C7="","",Data!C7)</f>
        <v/>
      </c>
      <c r="C31" s="82">
        <f>IF(Data!C7="","",Data!G7)</f>
        <v/>
      </c>
      <c r="D31" s="95">
        <f>IF(Data!C7="","",ROUNDUP((ROW()-25)/4,0)&amp;"-"&amp;MOD(ROW()-26,4)+1)</f>
        <v/>
      </c>
      <c r="E31" s="94" t="n"/>
      <c r="F31" s="94" t="n"/>
    </row>
    <row r="32">
      <c r="A32" s="95">
        <f>IF(Data!C8="","","□")</f>
        <v/>
      </c>
      <c r="B32" s="95">
        <f>IF(Data!C8="","",Data!C8)</f>
        <v/>
      </c>
      <c r="C32" s="82">
        <f>IF(Data!C8="","",Data!G8)</f>
        <v/>
      </c>
      <c r="D32" s="95">
        <f>IF(Data!C8="","",ROUNDUP((ROW()-25)/4,0)&amp;"-"&amp;MOD(ROW()-26,4)+1)</f>
        <v/>
      </c>
      <c r="E32" s="94" t="n"/>
      <c r="F32" s="94" t="n"/>
    </row>
    <row r="33">
      <c r="A33" s="95">
        <f>IF(Data!C9="","","□")</f>
        <v/>
      </c>
      <c r="B33" s="95">
        <f>IF(Data!C9="","",Data!C9)</f>
        <v/>
      </c>
      <c r="C33" s="82">
        <f>IF(Data!C9="","",Data!G9)</f>
        <v/>
      </c>
      <c r="D33" s="95">
        <f>IF(Data!C9="","",ROUNDUP((ROW()-25)/4,0)&amp;"-"&amp;MOD(ROW()-26,4)+1)</f>
        <v/>
      </c>
      <c r="E33" s="94" t="n"/>
      <c r="F33" s="94" t="n"/>
    </row>
    <row r="34">
      <c r="A34" s="95">
        <f>IF(Data!C10="","","□")</f>
        <v/>
      </c>
      <c r="B34" s="95">
        <f>IF(Data!C10="","",Data!C10)</f>
        <v/>
      </c>
      <c r="C34" s="82">
        <f>IF(Data!C10="","",Data!G10)</f>
        <v/>
      </c>
      <c r="D34" s="95">
        <f>IF(Data!C10="","",ROUNDUP((ROW()-25)/4,0)&amp;"-"&amp;MOD(ROW()-26,4)+1)</f>
        <v/>
      </c>
      <c r="E34" s="94" t="n"/>
      <c r="F34" s="94" t="n"/>
    </row>
    <row r="35">
      <c r="A35" s="95">
        <f>IF(Data!C11="","","□")</f>
        <v/>
      </c>
      <c r="B35" s="95">
        <f>IF(Data!C11="","",Data!C11)</f>
        <v/>
      </c>
      <c r="C35" s="82">
        <f>IF(Data!C11="","",Data!G11)</f>
        <v/>
      </c>
      <c r="D35" s="95">
        <f>IF(Data!C11="","",ROUNDUP((ROW()-25)/4,0)&amp;"-"&amp;MOD(ROW()-26,4)+1)</f>
        <v/>
      </c>
      <c r="E35" s="94" t="n"/>
      <c r="F35" s="94" t="n"/>
    </row>
    <row r="36">
      <c r="A36" s="95">
        <f>IF(Data!C12="","","□")</f>
        <v/>
      </c>
      <c r="B36" s="95">
        <f>IF(Data!C12="","",Data!C12)</f>
        <v/>
      </c>
      <c r="C36" s="82">
        <f>IF(Data!C12="","",Data!G12)</f>
        <v/>
      </c>
      <c r="D36" s="95">
        <f>IF(Data!C12="","",ROUNDUP((ROW()-25)/4,0)&amp;"-"&amp;MOD(ROW()-26,4)+1)</f>
        <v/>
      </c>
      <c r="E36" s="94" t="n"/>
      <c r="F36" s="94" t="n"/>
    </row>
    <row r="37">
      <c r="A37" s="95">
        <f>IF(Data!C13="","","□")</f>
        <v/>
      </c>
      <c r="B37" s="95">
        <f>IF(Data!C13="","",Data!C13)</f>
        <v/>
      </c>
      <c r="C37" s="82">
        <f>IF(Data!C13="","",Data!G13)</f>
        <v/>
      </c>
      <c r="D37" s="95">
        <f>IF(Data!C13="","",ROUNDUP((ROW()-25)/4,0)&amp;"-"&amp;MOD(ROW()-26,4)+1)</f>
        <v/>
      </c>
      <c r="E37" s="94" t="n"/>
      <c r="F37" s="94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2025-02-26T00:49:45Z</dcterms:created>
  <dcterms:modified xmlns:dcterms="http://purl.org/dc/terms/" xmlns:xsi="http://www.w3.org/2001/XMLSchema-instance" xsi:type="dcterms:W3CDTF">2026-10-11T23:04:33Z</dcterms:modified>
  <cp:lastModifiedBy/>
</cp:coreProperties>
</file>