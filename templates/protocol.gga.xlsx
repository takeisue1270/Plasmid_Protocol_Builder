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neal" sheetId="2" state="visible" r:id="rId2"/>
    <sheet xmlns:r="http://schemas.openxmlformats.org/officeDocument/2006/relationships" name="GGA" sheetId="3" state="visible" r:id="rId3"/>
    <sheet xmlns:r="http://schemas.openxmlformats.org/officeDocument/2006/relationships" name="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"/>
    <numFmt numFmtId="166" formatCode="00"/>
  </numFmts>
  <fonts count="6">
    <font>
      <name val="Calibri"/>
      <family val="2"/>
      <color theme="1"/>
      <sz val="11"/>
      <scheme val="minor"/>
    </font>
    <font>
      <name val="游ゴシック"/>
      <sz val="10"/>
    </font>
    <font>
      <name val="游ゴシック"/>
      <sz val="11"/>
    </font>
    <font>
      <name val="游ゴシック"/>
      <b val="1"/>
      <sz val="11"/>
    </font>
    <font>
      <name val="游ゴシック"/>
      <color rgb="FF808080"/>
      <sz val="10"/>
    </font>
    <font>
      <name val="游ゴシック"/>
      <b val="1"/>
      <color rgb="FFC00000"/>
      <sz val="10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92D05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1" pivotButton="0" quotePrefix="0" xfId="0"/>
    <xf numFmtId="2" fontId="2" fillId="0" borderId="1" pivotButton="0" quotePrefix="0" xfId="0"/>
    <xf numFmtId="165" fontId="2" fillId="0" borderId="1" pivotButton="0" quotePrefix="0" xfId="0"/>
    <xf numFmtId="0" fontId="2" fillId="4" borderId="1" pivotButton="0" quotePrefix="0" xfId="0"/>
    <xf numFmtId="0" fontId="3" fillId="4" borderId="1" pivotButton="0" quotePrefix="0" xfId="0"/>
    <xf numFmtId="2" fontId="3" fillId="4" borderId="1" pivotButton="0" quotePrefix="0" xfId="0"/>
    <xf numFmtId="165" fontId="3" fillId="4" borderId="1" pivotButton="0" quotePrefix="0" xfId="0"/>
    <xf numFmtId="0" fontId="1" fillId="4" borderId="1" pivotButton="0" quotePrefix="0" xfId="0"/>
    <xf numFmtId="0" fontId="2" fillId="0" borderId="0" applyAlignment="1" pivotButton="0" quotePrefix="0" xfId="0">
      <alignment horizontal="center"/>
    </xf>
    <xf numFmtId="165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horizontal="right"/>
    </xf>
    <xf numFmtId="1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Plasmid_Protocol_Builder</author>
  </authors>
  <commentList>
    <comment ref="A1" authorId="0" shapeId="0">
      <text>
        <t>Only columns C, G, H, J, M and N are read by the other sheets. The other columns are free for your own notes.</t>
      </text>
    </comment>
  </commentList>
</comments>
</file>

<file path=xl/comments/comment2.xml><?xml version="1.0" encoding="utf-8"?>
<comments xmlns="http://schemas.openxmlformats.org/spreadsheetml/2006/main">
  <authors>
    <author>Plasmid_Protocol_Builder</author>
  </authors>
  <commentList>
    <comment ref="B9" authorId="0" shapeId="0">
      <text>
        <t>The reagents and volumes are those of the author's protocol. For other reagents, change the rows below.</t>
      </text>
    </comment>
  </commentList>
</comments>
</file>

<file path=xl/comments/comment3.xml><?xml version="1.0" encoding="utf-8"?>
<comments xmlns="http://schemas.openxmlformats.org/spreadsheetml/2006/main">
  <authors>
    <author>Plasmid_Protocol_Builder</author>
  </authors>
  <commentList>
    <comment ref="B14" authorId="0" shapeId="0">
      <text>
        <t>The volumes are for the NEBridge kit named here. For another kit, change the reagent rows and volumes.</t>
      </text>
    </comment>
    <comment ref="B25" authorId="0" shapeId="0">
      <text>
        <t>The volumes are for the NEBridge kit named here. For another kit, change the reagent rows and volumes.</t>
      </text>
    </comment>
  </commentList>
</comments>
</file>

<file path=xl/comments/comment4.xml><?xml version="1.0" encoding="utf-8"?>
<comments xmlns="http://schemas.openxmlformats.org/spreadsheetml/2006/main">
  <authors>
    <author>Plasmid_Protocol_Builder</author>
  </authors>
  <commentList>
    <comment ref="B6" authorId="0" shapeId="0">
      <text>
        <t>25 uL of competent cells per sample is the author's value. Change the 25 in the formula in column C, the text in column E and the instruction line in row 12 to match the cells you use.</t>
      </text>
    </comment>
    <comment ref="B7" authorId="0" shapeId="0">
      <text>
        <t>900 uL of medium per sample is the author's value. Change the 900 in the formula in column C, the text in column E and the instruction line in row 18 to match the medium you use.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9" customWidth="1" min="4" max="4"/>
    <col width="12" customWidth="1" min="5" max="5"/>
    <col width="9" customWidth="1" min="6" max="6"/>
    <col width="44" customWidth="1" min="7" max="7"/>
    <col width="11" customWidth="1" min="8" max="8"/>
    <col width="11" customWidth="1" min="9" max="9"/>
    <col width="20" customWidth="1" min="10" max="10"/>
    <col width="13" customWidth="1" min="11" max="11"/>
    <col width="11" customWidth="1" min="12" max="12"/>
    <col width="16" customWidth="1" min="13" max="13"/>
    <col width="16" customWidth="1" min="14" max="14"/>
    <col width="11" customWidth="1" min="15" max="15"/>
  </cols>
  <sheetData>
    <row r="1">
      <c r="A1" s="1" t="inlineStr">
        <is>
          <t>Plasmid Construction</t>
        </is>
      </c>
      <c r="B1" s="1" t="inlineStr">
        <is>
          <t>Project No.</t>
        </is>
      </c>
      <c r="C1" s="1" t="inlineStr">
        <is>
          <t>Sub. No.</t>
        </is>
      </c>
      <c r="D1" s="1" t="inlineStr">
        <is>
          <t>Method</t>
        </is>
      </c>
      <c r="E1" s="1" t="inlineStr">
        <is>
          <t>Plasmid map</t>
        </is>
      </c>
      <c r="F1" s="1" t="inlineStr">
        <is>
          <t>Length</t>
        </is>
      </c>
      <c r="G1" s="1" t="inlineStr">
        <is>
          <t>Plasmid name</t>
        </is>
      </c>
      <c r="H1" s="1" t="inlineStr">
        <is>
          <t>RE1</t>
        </is>
      </c>
      <c r="I1" s="1" t="inlineStr">
        <is>
          <t>RE2</t>
        </is>
      </c>
      <c r="J1" s="1" t="inlineStr">
        <is>
          <t>Backbone plasmid/gDNA</t>
        </is>
      </c>
      <c r="K1" s="1" t="inlineStr">
        <is>
          <t>Backbone prep.</t>
        </is>
      </c>
      <c r="L1" s="1" t="inlineStr">
        <is>
          <t>Length (bp)</t>
        </is>
      </c>
      <c r="M1" s="1" t="inlineStr">
        <is>
          <t>PCR primer/Oligo 1</t>
        </is>
      </c>
      <c r="N1" s="1" t="inlineStr">
        <is>
          <t>PCR primer/Oligo 2</t>
        </is>
      </c>
      <c r="O1" s="1" t="inlineStr">
        <is>
          <t>Template</t>
        </is>
      </c>
      <c r="P1" s="1" t="inlineStr">
        <is>
          <t>Length (bp)</t>
        </is>
      </c>
      <c r="Q1" s="1" t="inlineStr">
        <is>
          <t>PCR/Annealing</t>
        </is>
      </c>
      <c r="R1" s="1" t="inlineStr">
        <is>
          <t>DpnI</t>
        </is>
      </c>
      <c r="S1" s="1" t="inlineStr">
        <is>
          <t>Transformation</t>
        </is>
      </c>
      <c r="T1" s="1" t="inlineStr">
        <is>
          <t>Miniprep</t>
        </is>
      </c>
      <c r="U1" s="1" t="inlineStr">
        <is>
          <t>Plasmid Ext.</t>
        </is>
      </c>
      <c r="V1" s="1" t="inlineStr">
        <is>
          <t>Nanopore</t>
        </is>
      </c>
      <c r="W1" s="1" t="inlineStr">
        <is>
          <t>Sequence check</t>
        </is>
      </c>
      <c r="X1" s="1" t="inlineStr">
        <is>
          <t>Plasmid No.</t>
        </is>
      </c>
      <c r="Y1" s="1" t="inlineStr">
        <is>
          <t>Plasmid name</t>
        </is>
      </c>
      <c r="Z1" s="1" t="inlineStr">
        <is>
          <t>Competent cell</t>
        </is>
      </c>
      <c r="AA1" s="1" t="inlineStr">
        <is>
          <t>Conc</t>
        </is>
      </c>
      <c r="AB1" s="1" t="inlineStr">
        <is>
          <t>Design</t>
        </is>
      </c>
      <c r="AC1" s="1" t="inlineStr">
        <is>
          <t>Order</t>
        </is>
      </c>
      <c r="AD1" s="1" t="inlineStr">
        <is>
          <t>Obtained</t>
        </is>
      </c>
      <c r="AE1" s="1" t="inlineStr">
        <is>
          <t>Made by</t>
        </is>
      </c>
      <c r="AF1" s="1" t="inlineStr">
        <is>
          <t>Entered by</t>
        </is>
      </c>
      <c r="AG1" s="1" t="inlineStr">
        <is>
          <t>Project number</t>
        </is>
      </c>
    </row>
    <row r="2">
      <c r="C2" s="26" t="n"/>
    </row>
    <row r="3">
      <c r="C3" s="26" t="n"/>
    </row>
    <row r="4">
      <c r="C4" s="26" t="n"/>
    </row>
    <row r="5">
      <c r="C5" s="26" t="n"/>
    </row>
    <row r="6">
      <c r="C6" s="26" t="n"/>
    </row>
    <row r="7">
      <c r="C7" s="26" t="n"/>
    </row>
    <row r="8">
      <c r="C8" s="26" t="n"/>
    </row>
    <row r="9">
      <c r="C9" s="26" t="n"/>
    </row>
    <row r="10">
      <c r="C10" s="26" t="n"/>
    </row>
    <row r="11">
      <c r="C11" s="26" t="n"/>
    </row>
    <row r="12">
      <c r="C12" s="26" t="n"/>
    </row>
    <row r="13">
      <c r="C13" s="26" t="n"/>
    </row>
    <row r="14">
      <c r="C14" s="26" t="n"/>
    </row>
    <row r="15">
      <c r="C15" s="26" t="n"/>
    </row>
    <row r="16">
      <c r="C16" s="26" t="n"/>
    </row>
    <row r="17">
      <c r="C17" s="26" t="n"/>
    </row>
    <row r="18">
      <c r="C18" s="26" t="n"/>
    </row>
    <row r="19">
      <c r="C19" s="26" t="n"/>
    </row>
    <row r="20">
      <c r="C20" s="26" t="n"/>
    </row>
    <row r="21">
      <c r="C21" s="26" t="n"/>
    </row>
    <row r="22">
      <c r="C22" s="26" t="n"/>
    </row>
    <row r="23">
      <c r="C23" s="26" t="n"/>
    </row>
    <row r="24">
      <c r="C24" s="26" t="n"/>
    </row>
    <row r="25">
      <c r="C25" s="26" t="n"/>
    </row>
    <row r="26">
      <c r="C26" s="26" t="n"/>
    </row>
    <row r="27">
      <c r="C27" s="26" t="n"/>
    </row>
    <row r="28">
      <c r="C28" s="26" t="n"/>
    </row>
    <row r="29">
      <c r="C29" s="26" t="n"/>
    </row>
    <row r="30">
      <c r="C30" s="26" t="n"/>
    </row>
    <row r="31">
      <c r="C31" s="26" t="n"/>
    </row>
    <row r="32">
      <c r="C32" s="26" t="n"/>
    </row>
    <row r="33">
      <c r="C33" s="26" t="n"/>
    </row>
    <row r="34">
      <c r="C34" s="26" t="n"/>
    </row>
    <row r="35">
      <c r="C35" s="26" t="n"/>
    </row>
    <row r="36">
      <c r="C36" s="26" t="n"/>
    </row>
    <row r="37">
      <c r="C37" s="26" t="n"/>
    </row>
    <row r="38">
      <c r="C38" s="26" t="n"/>
    </row>
    <row r="39">
      <c r="C39" s="26" t="n"/>
    </row>
    <row r="40">
      <c r="C40" s="26" t="n"/>
    </row>
    <row r="41">
      <c r="C41" s="26" t="n"/>
    </row>
    <row r="42">
      <c r="C42" s="26" t="n"/>
    </row>
    <row r="43">
      <c r="C43" s="26" t="n"/>
    </row>
    <row r="44">
      <c r="C44" s="26" t="n"/>
    </row>
    <row r="45">
      <c r="C45" s="26" t="n"/>
    </row>
    <row r="46">
      <c r="C46" s="26" t="n"/>
    </row>
    <row r="47">
      <c r="C47" s="26" t="n"/>
    </row>
    <row r="48">
      <c r="C48" s="26" t="n"/>
    </row>
    <row r="49">
      <c r="C49" s="2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tabSelected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3" customWidth="1" min="4" max="4"/>
    <col width="13" customWidth="1" min="5" max="5"/>
    <col width="30" customWidth="1" min="6" max="6"/>
    <col width="18" customWidth="1" min="7" max="7"/>
  </cols>
  <sheetData>
    <row r="1">
      <c r="A1" s="2">
        <f>TODAY()</f>
        <v/>
      </c>
      <c r="C1" s="3" t="inlineStr">
        <is>
          <t>Cloning with Golden-gate assembly</t>
        </is>
      </c>
    </row>
    <row r="2"/>
    <row r="3">
      <c r="A3" s="4" t="inlineStr">
        <is>
          <t>1. 5' phosphorylation of oligo DNA</t>
        </is>
      </c>
    </row>
    <row r="4">
      <c r="B4" s="5" t="inlineStr">
        <is>
          <t>Thaw the oligo DNA and T4 DNA Ligase Reaction Buffer at room temperature</t>
        </is>
      </c>
    </row>
    <row r="5"/>
    <row r="6">
      <c r="B6" s="3" t="inlineStr">
        <is>
          <t>Samples</t>
        </is>
      </c>
      <c r="C6" s="3">
        <f>COUNTA(Data!C2:C49)</f>
        <v/>
      </c>
      <c r="D6" s="6" t="inlineStr">
        <is>
          <t>samples</t>
        </is>
      </c>
    </row>
    <row r="7">
      <c r="B7" s="3" t="inlineStr">
        <is>
          <t>Mix tubes to prepare</t>
        </is>
      </c>
      <c r="C7" s="3">
        <f>C6+2</f>
        <v/>
      </c>
      <c r="D7" s="6" t="inlineStr">
        <is>
          <t>tubes</t>
        </is>
      </c>
      <c r="E7" s="7" t="inlineStr">
        <is>
          <t>(samples + 2)</t>
        </is>
      </c>
    </row>
    <row r="8"/>
    <row r="9">
      <c r="B9" s="3" t="inlineStr">
        <is>
          <t>• T4 PNK mix preparation</t>
        </is>
      </c>
    </row>
    <row r="10">
      <c r="A10" s="8" t="inlineStr"/>
      <c r="B10" s="8" t="inlineStr">
        <is>
          <t>Reagent</t>
        </is>
      </c>
      <c r="C10" s="8" t="inlineStr">
        <is>
          <t>Final</t>
        </is>
      </c>
      <c r="D10" s="8" t="inlineStr">
        <is>
          <t>1 sample (uL)</t>
        </is>
      </c>
      <c r="E10" s="8" t="inlineStr">
        <is>
          <t>Mix (uL)</t>
        </is>
      </c>
      <c r="F10" s="8" t="inlineStr"/>
    </row>
    <row r="11">
      <c r="A11" s="9" t="inlineStr">
        <is>
          <t>□</t>
        </is>
      </c>
      <c r="B11" s="10" t="inlineStr">
        <is>
          <t>milliQ</t>
        </is>
      </c>
      <c r="C11" s="11" t="inlineStr"/>
      <c r="D11" s="12" t="n">
        <v>6.75</v>
      </c>
      <c r="E11" s="13">
        <f>D11*$C$7</f>
        <v/>
      </c>
      <c r="F11" s="11" t="inlineStr">
        <is>
          <t>uL</t>
        </is>
      </c>
    </row>
    <row r="12">
      <c r="A12" s="9" t="inlineStr">
        <is>
          <t>□</t>
        </is>
      </c>
      <c r="B12" s="10" t="inlineStr">
        <is>
          <t>T4 DNA Ligase Reaction Buffer</t>
        </is>
      </c>
      <c r="C12" s="11" t="inlineStr">
        <is>
          <t>1x</t>
        </is>
      </c>
      <c r="D12" s="12" t="n">
        <v>1</v>
      </c>
      <c r="E12" s="13">
        <f>D12*$C$7</f>
        <v/>
      </c>
      <c r="F12" s="11" t="inlineStr">
        <is>
          <t>uL</t>
        </is>
      </c>
    </row>
    <row r="13">
      <c r="A13" s="9" t="inlineStr">
        <is>
          <t>□</t>
        </is>
      </c>
      <c r="B13" s="10" t="inlineStr">
        <is>
          <t>T4 Polynucleotide Kinase</t>
        </is>
      </c>
      <c r="C13" s="11" t="inlineStr">
        <is>
          <t>5 units</t>
        </is>
      </c>
      <c r="D13" s="12" t="n">
        <v>0.25</v>
      </c>
      <c r="E13" s="13">
        <f>D13*$C$7</f>
        <v/>
      </c>
      <c r="F13" s="11" t="inlineStr">
        <is>
          <t>uL</t>
        </is>
      </c>
    </row>
    <row r="14">
      <c r="A14" s="14" t="inlineStr"/>
      <c r="B14" s="15" t="inlineStr">
        <is>
          <t>Total</t>
        </is>
      </c>
      <c r="C14" s="14" t="inlineStr"/>
      <c r="D14" s="16">
        <f>SUM(D11:D13)</f>
        <v/>
      </c>
      <c r="E14" s="17">
        <f>SUM(E11:E13)</f>
        <v/>
      </c>
      <c r="F14" s="18" t="inlineStr">
        <is>
          <t>uL</t>
        </is>
      </c>
    </row>
    <row r="15"/>
    <row r="16">
      <c r="B16" s="3" t="inlineStr">
        <is>
          <t>• Oligo mix preparation (one sample at a time)</t>
        </is>
      </c>
    </row>
    <row r="17">
      <c r="A17" s="8" t="inlineStr"/>
      <c r="B17" s="8" t="inlineStr">
        <is>
          <t>Reagent</t>
        </is>
      </c>
      <c r="C17" s="8" t="inlineStr">
        <is>
          <t>Final</t>
        </is>
      </c>
      <c r="D17" s="8" t="inlineStr">
        <is>
          <t>Volume (uL)</t>
        </is>
      </c>
      <c r="E17" s="8" t="inlineStr"/>
      <c r="F17" s="8" t="inlineStr"/>
    </row>
    <row r="18">
      <c r="A18" s="9" t="inlineStr">
        <is>
          <t>□</t>
        </is>
      </c>
      <c r="B18" s="10" t="inlineStr">
        <is>
          <t>T4PNK mix</t>
        </is>
      </c>
      <c r="C18" s="11" t="inlineStr"/>
      <c r="D18" s="12">
        <f>$D$14</f>
        <v/>
      </c>
      <c r="E18" s="10" t="inlineStr"/>
      <c r="F18" s="11" t="inlineStr">
        <is>
          <t>uL</t>
        </is>
      </c>
    </row>
    <row r="19">
      <c r="A19" s="9" t="inlineStr">
        <is>
          <t>□</t>
        </is>
      </c>
      <c r="B19" s="10" t="inlineStr">
        <is>
          <t>Oligo F</t>
        </is>
      </c>
      <c r="C19" s="11" t="inlineStr">
        <is>
          <t>10 uM</t>
        </is>
      </c>
      <c r="D19" s="12" t="n">
        <v>1</v>
      </c>
      <c r="E19" s="10" t="inlineStr"/>
      <c r="F19" s="11" t="inlineStr">
        <is>
          <t>uL</t>
        </is>
      </c>
    </row>
    <row r="20">
      <c r="A20" s="9" t="inlineStr">
        <is>
          <t>□</t>
        </is>
      </c>
      <c r="B20" s="10" t="inlineStr">
        <is>
          <t>Oligo R</t>
        </is>
      </c>
      <c r="C20" s="11" t="inlineStr">
        <is>
          <t>10 uM</t>
        </is>
      </c>
      <c r="D20" s="12" t="n">
        <v>1</v>
      </c>
      <c r="E20" s="10" t="inlineStr"/>
      <c r="F20" s="11" t="inlineStr">
        <is>
          <t>uL</t>
        </is>
      </c>
    </row>
    <row r="21">
      <c r="A21" s="14" t="inlineStr"/>
      <c r="B21" s="15" t="inlineStr">
        <is>
          <t>Total</t>
        </is>
      </c>
      <c r="C21" s="14" t="inlineStr"/>
      <c r="D21" s="16">
        <f>SUM(D18:D20)</f>
        <v/>
      </c>
      <c r="E21" s="14" t="inlineStr"/>
      <c r="F21" s="18" t="inlineStr">
        <is>
          <t>uL</t>
        </is>
      </c>
    </row>
    <row r="22"/>
    <row r="23">
      <c r="A23" s="19" t="inlineStr">
        <is>
          <t>□</t>
        </is>
      </c>
      <c r="B23" s="5" t="inlineStr">
        <is>
          <t>Mix well by vortexing, then spin down</t>
        </is>
      </c>
    </row>
    <row r="24">
      <c r="A24" s="19" t="inlineStr">
        <is>
          <t>□</t>
        </is>
      </c>
      <c r="B24" s="5" t="inlineStr">
        <is>
          <t>Run the following reaction in a thermal cycler</t>
        </is>
      </c>
    </row>
    <row r="25">
      <c r="B25" s="5" t="inlineStr">
        <is>
          <t>37°C 30:00  →  95°C 10:00  →  95°C→85°C -2°C/sec  →  85°C→25°C -0.3°C/sec</t>
        </is>
      </c>
    </row>
    <row r="26">
      <c r="B26" s="7" t="inlineStr">
        <is>
          <t>(checkpoint) Can be stored at -30°C</t>
        </is>
      </c>
    </row>
    <row r="27"/>
    <row r="28">
      <c r="B28" s="3" t="inlineStr">
        <is>
          <t>Oligo list</t>
        </is>
      </c>
    </row>
    <row r="29">
      <c r="A29" s="8" t="inlineStr"/>
      <c r="B29" s="8" t="inlineStr">
        <is>
          <t>Sub. No.</t>
        </is>
      </c>
      <c r="C29" s="8" t="inlineStr">
        <is>
          <t>Plasmid name</t>
        </is>
      </c>
      <c r="D29" s="8" t="inlineStr">
        <is>
          <t>Oligo F</t>
        </is>
      </c>
      <c r="E29" s="8" t="inlineStr">
        <is>
          <t>Oligo R</t>
        </is>
      </c>
    </row>
    <row r="30">
      <c r="A30" s="9">
        <f>IF(Data!C2="","","□")</f>
        <v/>
      </c>
      <c r="B30" s="9">
        <f>IF(Data!C2="","",Data!C2)</f>
        <v/>
      </c>
      <c r="C30" s="11">
        <f>IF(Data!C2="","",Data!G2)</f>
        <v/>
      </c>
      <c r="D30" s="9">
        <f>IF(Data!C2="","",Data!M2)</f>
        <v/>
      </c>
      <c r="E30" s="9">
        <f>IF(Data!C2="","",Data!N2)</f>
        <v/>
      </c>
    </row>
    <row r="31">
      <c r="A31" s="9">
        <f>IF(Data!C3="","","□")</f>
        <v/>
      </c>
      <c r="B31" s="9">
        <f>IF(Data!C3="","",Data!C3)</f>
        <v/>
      </c>
      <c r="C31" s="11">
        <f>IF(Data!C3="","",Data!G3)</f>
        <v/>
      </c>
      <c r="D31" s="9">
        <f>IF(Data!C3="","",Data!M3)</f>
        <v/>
      </c>
      <c r="E31" s="9">
        <f>IF(Data!C3="","",Data!N3)</f>
        <v/>
      </c>
    </row>
    <row r="32">
      <c r="A32" s="9">
        <f>IF(Data!C4="","","□")</f>
        <v/>
      </c>
      <c r="B32" s="9">
        <f>IF(Data!C4="","",Data!C4)</f>
        <v/>
      </c>
      <c r="C32" s="11">
        <f>IF(Data!C4="","",Data!G4)</f>
        <v/>
      </c>
      <c r="D32" s="9">
        <f>IF(Data!C4="","",Data!M4)</f>
        <v/>
      </c>
      <c r="E32" s="9">
        <f>IF(Data!C4="","",Data!N4)</f>
        <v/>
      </c>
    </row>
    <row r="33">
      <c r="A33" s="9">
        <f>IF(Data!C5="","","□")</f>
        <v/>
      </c>
      <c r="B33" s="9">
        <f>IF(Data!C5="","",Data!C5)</f>
        <v/>
      </c>
      <c r="C33" s="11">
        <f>IF(Data!C5="","",Data!G5)</f>
        <v/>
      </c>
      <c r="D33" s="9">
        <f>IF(Data!C5="","",Data!M5)</f>
        <v/>
      </c>
      <c r="E33" s="9">
        <f>IF(Data!C5="","",Data!N5)</f>
        <v/>
      </c>
    </row>
    <row r="34">
      <c r="A34" s="9">
        <f>IF(Data!C6="","","□")</f>
        <v/>
      </c>
      <c r="B34" s="9">
        <f>IF(Data!C6="","",Data!C6)</f>
        <v/>
      </c>
      <c r="C34" s="11">
        <f>IF(Data!C6="","",Data!G6)</f>
        <v/>
      </c>
      <c r="D34" s="9">
        <f>IF(Data!C6="","",Data!M6)</f>
        <v/>
      </c>
      <c r="E34" s="9">
        <f>IF(Data!C6="","",Data!N6)</f>
        <v/>
      </c>
    </row>
    <row r="35">
      <c r="A35" s="9">
        <f>IF(Data!C7="","","□")</f>
        <v/>
      </c>
      <c r="B35" s="9">
        <f>IF(Data!C7="","",Data!C7)</f>
        <v/>
      </c>
      <c r="C35" s="11">
        <f>IF(Data!C7="","",Data!G7)</f>
        <v/>
      </c>
      <c r="D35" s="9">
        <f>IF(Data!C7="","",Data!M7)</f>
        <v/>
      </c>
      <c r="E35" s="9">
        <f>IF(Data!C7="","",Data!N7)</f>
        <v/>
      </c>
    </row>
    <row r="36">
      <c r="A36" s="9">
        <f>IF(Data!C8="","","□")</f>
        <v/>
      </c>
      <c r="B36" s="9">
        <f>IF(Data!C8="","",Data!C8)</f>
        <v/>
      </c>
      <c r="C36" s="11">
        <f>IF(Data!C8="","",Data!G8)</f>
        <v/>
      </c>
      <c r="D36" s="9">
        <f>IF(Data!C8="","",Data!M8)</f>
        <v/>
      </c>
      <c r="E36" s="9">
        <f>IF(Data!C8="","",Data!N8)</f>
        <v/>
      </c>
    </row>
    <row r="37">
      <c r="A37" s="9">
        <f>IF(Data!C9="","","□")</f>
        <v/>
      </c>
      <c r="B37" s="9">
        <f>IF(Data!C9="","",Data!C9)</f>
        <v/>
      </c>
      <c r="C37" s="11">
        <f>IF(Data!C9="","",Data!G9)</f>
        <v/>
      </c>
      <c r="D37" s="9">
        <f>IF(Data!C9="","",Data!M9)</f>
        <v/>
      </c>
      <c r="E37" s="9">
        <f>IF(Data!C9="","",Data!N9)</f>
        <v/>
      </c>
    </row>
    <row r="38">
      <c r="A38" s="9">
        <f>IF(Data!C10="","","□")</f>
        <v/>
      </c>
      <c r="B38" s="9">
        <f>IF(Data!C10="","",Data!C10)</f>
        <v/>
      </c>
      <c r="C38" s="11">
        <f>IF(Data!C10="","",Data!G10)</f>
        <v/>
      </c>
      <c r="D38" s="9">
        <f>IF(Data!C10="","",Data!M10)</f>
        <v/>
      </c>
      <c r="E38" s="9">
        <f>IF(Data!C10="","",Data!N10)</f>
        <v/>
      </c>
    </row>
    <row r="39">
      <c r="A39" s="9">
        <f>IF(Data!C11="","","□")</f>
        <v/>
      </c>
      <c r="B39" s="9">
        <f>IF(Data!C11="","",Data!C11)</f>
        <v/>
      </c>
      <c r="C39" s="11">
        <f>IF(Data!C11="","",Data!G11)</f>
        <v/>
      </c>
      <c r="D39" s="9">
        <f>IF(Data!C11="","",Data!M11)</f>
        <v/>
      </c>
      <c r="E39" s="9">
        <f>IF(Data!C11="","",Data!N11)</f>
        <v/>
      </c>
    </row>
    <row r="40">
      <c r="A40" s="9">
        <f>IF(Data!C12="","","□")</f>
        <v/>
      </c>
      <c r="B40" s="9">
        <f>IF(Data!C12="","",Data!C12)</f>
        <v/>
      </c>
      <c r="C40" s="11">
        <f>IF(Data!C12="","",Data!G12)</f>
        <v/>
      </c>
      <c r="D40" s="9">
        <f>IF(Data!C12="","",Data!M12)</f>
        <v/>
      </c>
      <c r="E40" s="9">
        <f>IF(Data!C12="","",Data!N12)</f>
        <v/>
      </c>
    </row>
    <row r="41">
      <c r="A41" s="9">
        <f>IF(Data!C13="","","□")</f>
        <v/>
      </c>
      <c r="B41" s="9">
        <f>IF(Data!C13="","",Data!C13)</f>
        <v/>
      </c>
      <c r="C41" s="11">
        <f>IF(Data!C13="","",Data!G13)</f>
        <v/>
      </c>
      <c r="D41" s="9">
        <f>IF(Data!C13="","",Data!M13)</f>
        <v/>
      </c>
      <c r="E41" s="9">
        <f>IF(Data!C13="","",Data!N13)</f>
        <v/>
      </c>
    </row>
    <row r="42">
      <c r="A42" s="9">
        <f>IF(Data!C14="","","□")</f>
        <v/>
      </c>
      <c r="B42" s="9">
        <f>IF(Data!C14="","",Data!C14)</f>
        <v/>
      </c>
      <c r="C42" s="11">
        <f>IF(Data!C14="","",Data!G14)</f>
        <v/>
      </c>
      <c r="D42" s="9">
        <f>IF(Data!C14="","",Data!M14)</f>
        <v/>
      </c>
      <c r="E42" s="9">
        <f>IF(Data!C14="","",Data!N14)</f>
        <v/>
      </c>
    </row>
    <row r="43">
      <c r="A43" s="9">
        <f>IF(Data!C15="","","□")</f>
        <v/>
      </c>
      <c r="B43" s="9">
        <f>IF(Data!C15="","",Data!C15)</f>
        <v/>
      </c>
      <c r="C43" s="11">
        <f>IF(Data!C15="","",Data!G15)</f>
        <v/>
      </c>
      <c r="D43" s="9">
        <f>IF(Data!C15="","",Data!M15)</f>
        <v/>
      </c>
      <c r="E43" s="9">
        <f>IF(Data!C15="","",Data!N15)</f>
        <v/>
      </c>
    </row>
    <row r="44">
      <c r="A44" s="9">
        <f>IF(Data!C16="","","□")</f>
        <v/>
      </c>
      <c r="B44" s="9">
        <f>IF(Data!C16="","",Data!C16)</f>
        <v/>
      </c>
      <c r="C44" s="11">
        <f>IF(Data!C16="","",Data!G16)</f>
        <v/>
      </c>
      <c r="D44" s="9">
        <f>IF(Data!C16="","",Data!M16)</f>
        <v/>
      </c>
      <c r="E44" s="9">
        <f>IF(Data!C16="","",Data!N16)</f>
        <v/>
      </c>
    </row>
    <row r="45">
      <c r="A45" s="9">
        <f>IF(Data!C17="","","□")</f>
        <v/>
      </c>
      <c r="B45" s="9">
        <f>IF(Data!C17="","",Data!C17)</f>
        <v/>
      </c>
      <c r="C45" s="11">
        <f>IF(Data!C17="","",Data!G17)</f>
        <v/>
      </c>
      <c r="D45" s="9">
        <f>IF(Data!C17="","",Data!M17)</f>
        <v/>
      </c>
      <c r="E45" s="9">
        <f>IF(Data!C17="","",Data!N17)</f>
        <v/>
      </c>
    </row>
    <row r="46">
      <c r="A46" s="9">
        <f>IF(Data!C18="","","□")</f>
        <v/>
      </c>
      <c r="B46" s="9">
        <f>IF(Data!C18="","",Data!C18)</f>
        <v/>
      </c>
      <c r="C46" s="11">
        <f>IF(Data!C18="","",Data!G18)</f>
        <v/>
      </c>
      <c r="D46" s="9">
        <f>IF(Data!C18="","",Data!M18)</f>
        <v/>
      </c>
      <c r="E46" s="9">
        <f>IF(Data!C18="","",Data!N18)</f>
        <v/>
      </c>
    </row>
    <row r="47">
      <c r="A47" s="9">
        <f>IF(Data!C19="","","□")</f>
        <v/>
      </c>
      <c r="B47" s="9">
        <f>IF(Data!C19="","",Data!C19)</f>
        <v/>
      </c>
      <c r="C47" s="11">
        <f>IF(Data!C19="","",Data!G19)</f>
        <v/>
      </c>
      <c r="D47" s="9">
        <f>IF(Data!C19="","",Data!M19)</f>
        <v/>
      </c>
      <c r="E47" s="9">
        <f>IF(Data!C19="","",Data!N19)</f>
        <v/>
      </c>
    </row>
    <row r="48">
      <c r="A48" s="9">
        <f>IF(Data!C20="","","□")</f>
        <v/>
      </c>
      <c r="B48" s="9">
        <f>IF(Data!C20="","",Data!C20)</f>
        <v/>
      </c>
      <c r="C48" s="11">
        <f>IF(Data!C20="","",Data!G20)</f>
        <v/>
      </c>
      <c r="D48" s="9">
        <f>IF(Data!C20="","",Data!M20)</f>
        <v/>
      </c>
      <c r="E48" s="9">
        <f>IF(Data!C20="","",Data!N20)</f>
        <v/>
      </c>
    </row>
    <row r="49">
      <c r="A49" s="9">
        <f>IF(Data!C21="","","□")</f>
        <v/>
      </c>
      <c r="B49" s="9">
        <f>IF(Data!C21="","",Data!C21)</f>
        <v/>
      </c>
      <c r="C49" s="11">
        <f>IF(Data!C21="","",Data!G21)</f>
        <v/>
      </c>
      <c r="D49" s="9">
        <f>IF(Data!C21="","",Data!M21)</f>
        <v/>
      </c>
      <c r="E49" s="9">
        <f>IF(Data!C21="","",Data!N21)</f>
        <v/>
      </c>
    </row>
    <row r="50">
      <c r="A50" s="9">
        <f>IF(Data!C22="","","□")</f>
        <v/>
      </c>
      <c r="B50" s="9">
        <f>IF(Data!C22="","",Data!C22)</f>
        <v/>
      </c>
      <c r="C50" s="11">
        <f>IF(Data!C22="","",Data!G22)</f>
        <v/>
      </c>
      <c r="D50" s="9">
        <f>IF(Data!C22="","",Data!M22)</f>
        <v/>
      </c>
      <c r="E50" s="9">
        <f>IF(Data!C22="","",Data!N22)</f>
        <v/>
      </c>
    </row>
    <row r="51">
      <c r="A51" s="9">
        <f>IF(Data!C23="","","□")</f>
        <v/>
      </c>
      <c r="B51" s="9">
        <f>IF(Data!C23="","",Data!C23)</f>
        <v/>
      </c>
      <c r="C51" s="11">
        <f>IF(Data!C23="","",Data!G23)</f>
        <v/>
      </c>
      <c r="D51" s="9">
        <f>IF(Data!C23="","",Data!M23)</f>
        <v/>
      </c>
      <c r="E51" s="9">
        <f>IF(Data!C23="","",Data!N23)</f>
        <v/>
      </c>
    </row>
    <row r="52">
      <c r="A52" s="9">
        <f>IF(Data!C24="","","□")</f>
        <v/>
      </c>
      <c r="B52" s="9">
        <f>IF(Data!C24="","",Data!C24)</f>
        <v/>
      </c>
      <c r="C52" s="11">
        <f>IF(Data!C24="","",Data!G24)</f>
        <v/>
      </c>
      <c r="D52" s="9">
        <f>IF(Data!C24="","",Data!M24)</f>
        <v/>
      </c>
      <c r="E52" s="9">
        <f>IF(Data!C24="","",Data!N24)</f>
        <v/>
      </c>
    </row>
    <row r="53">
      <c r="A53" s="9">
        <f>IF(Data!C25="","","□")</f>
        <v/>
      </c>
      <c r="B53" s="9">
        <f>IF(Data!C25="","",Data!C25)</f>
        <v/>
      </c>
      <c r="C53" s="11">
        <f>IF(Data!C25="","",Data!G25)</f>
        <v/>
      </c>
      <c r="D53" s="9">
        <f>IF(Data!C25="","",Data!M25)</f>
        <v/>
      </c>
      <c r="E53" s="9">
        <f>IF(Data!C25="","",Data!N25)</f>
        <v/>
      </c>
    </row>
    <row r="54">
      <c r="A54" s="9">
        <f>IF(Data!C26="","","□")</f>
        <v/>
      </c>
      <c r="B54" s="9">
        <f>IF(Data!C26="","",Data!C26)</f>
        <v/>
      </c>
      <c r="C54" s="11">
        <f>IF(Data!C26="","",Data!G26)</f>
        <v/>
      </c>
      <c r="D54" s="9">
        <f>IF(Data!C26="","",Data!M26)</f>
        <v/>
      </c>
      <c r="E54" s="9">
        <f>IF(Data!C26="","",Data!N26)</f>
        <v/>
      </c>
    </row>
    <row r="55">
      <c r="A55" s="9">
        <f>IF(Data!C27="","","□")</f>
        <v/>
      </c>
      <c r="B55" s="9">
        <f>IF(Data!C27="","",Data!C27)</f>
        <v/>
      </c>
      <c r="C55" s="11">
        <f>IF(Data!C27="","",Data!G27)</f>
        <v/>
      </c>
      <c r="D55" s="9">
        <f>IF(Data!C27="","",Data!M27)</f>
        <v/>
      </c>
      <c r="E55" s="9">
        <f>IF(Data!C27="","",Data!N27)</f>
        <v/>
      </c>
    </row>
    <row r="56">
      <c r="A56" s="9">
        <f>IF(Data!C28="","","□")</f>
        <v/>
      </c>
      <c r="B56" s="9">
        <f>IF(Data!C28="","",Data!C28)</f>
        <v/>
      </c>
      <c r="C56" s="11">
        <f>IF(Data!C28="","",Data!G28)</f>
        <v/>
      </c>
      <c r="D56" s="9">
        <f>IF(Data!C28="","",Data!M28)</f>
        <v/>
      </c>
      <c r="E56" s="9">
        <f>IF(Data!C28="","",Data!N28)</f>
        <v/>
      </c>
    </row>
    <row r="57">
      <c r="A57" s="9">
        <f>IF(Data!C29="","","□")</f>
        <v/>
      </c>
      <c r="B57" s="9">
        <f>IF(Data!C29="","",Data!C29)</f>
        <v/>
      </c>
      <c r="C57" s="11">
        <f>IF(Data!C29="","",Data!G29)</f>
        <v/>
      </c>
      <c r="D57" s="9">
        <f>IF(Data!C29="","",Data!M29)</f>
        <v/>
      </c>
      <c r="E57" s="9">
        <f>IF(Data!C29="","",Data!N29)</f>
        <v/>
      </c>
    </row>
    <row r="58">
      <c r="A58" s="9">
        <f>IF(Data!C30="","","□")</f>
        <v/>
      </c>
      <c r="B58" s="9">
        <f>IF(Data!C30="","",Data!C30)</f>
        <v/>
      </c>
      <c r="C58" s="11">
        <f>IF(Data!C30="","",Data!G30)</f>
        <v/>
      </c>
      <c r="D58" s="9">
        <f>IF(Data!C30="","",Data!M30)</f>
        <v/>
      </c>
      <c r="E58" s="9">
        <f>IF(Data!C30="","",Data!N30)</f>
        <v/>
      </c>
    </row>
    <row r="59">
      <c r="A59" s="9">
        <f>IF(Data!C31="","","□")</f>
        <v/>
      </c>
      <c r="B59" s="9">
        <f>IF(Data!C31="","",Data!C31)</f>
        <v/>
      </c>
      <c r="C59" s="11">
        <f>IF(Data!C31="","",Data!G31)</f>
        <v/>
      </c>
      <c r="D59" s="9">
        <f>IF(Data!C31="","",Data!M31)</f>
        <v/>
      </c>
      <c r="E59" s="9">
        <f>IF(Data!C31="","",Data!N31)</f>
        <v/>
      </c>
    </row>
    <row r="60">
      <c r="A60" s="9">
        <f>IF(Data!C32="","","□")</f>
        <v/>
      </c>
      <c r="B60" s="9">
        <f>IF(Data!C32="","",Data!C32)</f>
        <v/>
      </c>
      <c r="C60" s="11">
        <f>IF(Data!C32="","",Data!G32)</f>
        <v/>
      </c>
      <c r="D60" s="9">
        <f>IF(Data!C32="","",Data!M32)</f>
        <v/>
      </c>
      <c r="E60" s="9">
        <f>IF(Data!C32="","",Data!N32)</f>
        <v/>
      </c>
    </row>
    <row r="61">
      <c r="A61" s="9">
        <f>IF(Data!C33="","","□")</f>
        <v/>
      </c>
      <c r="B61" s="9">
        <f>IF(Data!C33="","",Data!C33)</f>
        <v/>
      </c>
      <c r="C61" s="11">
        <f>IF(Data!C33="","",Data!G33)</f>
        <v/>
      </c>
      <c r="D61" s="9">
        <f>IF(Data!C33="","",Data!M33)</f>
        <v/>
      </c>
      <c r="E61" s="9">
        <f>IF(Data!C33="","",Data!N33)</f>
        <v/>
      </c>
    </row>
    <row r="62">
      <c r="A62" s="9">
        <f>IF(Data!C34="","","□")</f>
        <v/>
      </c>
      <c r="B62" s="9">
        <f>IF(Data!C34="","",Data!C34)</f>
        <v/>
      </c>
      <c r="C62" s="11">
        <f>IF(Data!C34="","",Data!G34)</f>
        <v/>
      </c>
      <c r="D62" s="9">
        <f>IF(Data!C34="","",Data!M34)</f>
        <v/>
      </c>
      <c r="E62" s="9">
        <f>IF(Data!C34="","",Data!N34)</f>
        <v/>
      </c>
    </row>
    <row r="63">
      <c r="A63" s="9">
        <f>IF(Data!C35="","","□")</f>
        <v/>
      </c>
      <c r="B63" s="9">
        <f>IF(Data!C35="","",Data!C35)</f>
        <v/>
      </c>
      <c r="C63" s="11">
        <f>IF(Data!C35="","",Data!G35)</f>
        <v/>
      </c>
      <c r="D63" s="9">
        <f>IF(Data!C35="","",Data!M35)</f>
        <v/>
      </c>
      <c r="E63" s="9">
        <f>IF(Data!C35="","",Data!N35)</f>
        <v/>
      </c>
    </row>
    <row r="64">
      <c r="A64" s="9">
        <f>IF(Data!C36="","","□")</f>
        <v/>
      </c>
      <c r="B64" s="9">
        <f>IF(Data!C36="","",Data!C36)</f>
        <v/>
      </c>
      <c r="C64" s="11">
        <f>IF(Data!C36="","",Data!G36)</f>
        <v/>
      </c>
      <c r="D64" s="9">
        <f>IF(Data!C36="","",Data!M36)</f>
        <v/>
      </c>
      <c r="E64" s="9">
        <f>IF(Data!C36="","",Data!N36)</f>
        <v/>
      </c>
    </row>
    <row r="65">
      <c r="A65" s="9">
        <f>IF(Data!C37="","","□")</f>
        <v/>
      </c>
      <c r="B65" s="9">
        <f>IF(Data!C37="","",Data!C37)</f>
        <v/>
      </c>
      <c r="C65" s="11">
        <f>IF(Data!C37="","",Data!G37)</f>
        <v/>
      </c>
      <c r="D65" s="9">
        <f>IF(Data!C37="","",Data!M37)</f>
        <v/>
      </c>
      <c r="E65" s="9">
        <f>IF(Data!C37="","",Data!N37)</f>
        <v/>
      </c>
    </row>
    <row r="66">
      <c r="A66" s="9">
        <f>IF(Data!C38="","","□")</f>
        <v/>
      </c>
      <c r="B66" s="9">
        <f>IF(Data!C38="","",Data!C38)</f>
        <v/>
      </c>
      <c r="C66" s="11">
        <f>IF(Data!C38="","",Data!G38)</f>
        <v/>
      </c>
      <c r="D66" s="9">
        <f>IF(Data!C38="","",Data!M38)</f>
        <v/>
      </c>
      <c r="E66" s="9">
        <f>IF(Data!C38="","",Data!N38)</f>
        <v/>
      </c>
    </row>
    <row r="67">
      <c r="A67" s="9">
        <f>IF(Data!C39="","","□")</f>
        <v/>
      </c>
      <c r="B67" s="9">
        <f>IF(Data!C39="","",Data!C39)</f>
        <v/>
      </c>
      <c r="C67" s="11">
        <f>IF(Data!C39="","",Data!G39)</f>
        <v/>
      </c>
      <c r="D67" s="9">
        <f>IF(Data!C39="","",Data!M39)</f>
        <v/>
      </c>
      <c r="E67" s="9">
        <f>IF(Data!C39="","",Data!N39)</f>
        <v/>
      </c>
    </row>
    <row r="68">
      <c r="A68" s="9">
        <f>IF(Data!C40="","","□")</f>
        <v/>
      </c>
      <c r="B68" s="9">
        <f>IF(Data!C40="","",Data!C40)</f>
        <v/>
      </c>
      <c r="C68" s="11">
        <f>IF(Data!C40="","",Data!G40)</f>
        <v/>
      </c>
      <c r="D68" s="9">
        <f>IF(Data!C40="","",Data!M40)</f>
        <v/>
      </c>
      <c r="E68" s="9">
        <f>IF(Data!C40="","",Data!N40)</f>
        <v/>
      </c>
    </row>
    <row r="69">
      <c r="A69" s="9">
        <f>IF(Data!C41="","","□")</f>
        <v/>
      </c>
      <c r="B69" s="9">
        <f>IF(Data!C41="","",Data!C41)</f>
        <v/>
      </c>
      <c r="C69" s="11">
        <f>IF(Data!C41="","",Data!G41)</f>
        <v/>
      </c>
      <c r="D69" s="9">
        <f>IF(Data!C41="","",Data!M41)</f>
        <v/>
      </c>
      <c r="E69" s="9">
        <f>IF(Data!C41="","",Data!N41)</f>
        <v/>
      </c>
    </row>
    <row r="70">
      <c r="A70" s="9">
        <f>IF(Data!C42="","","□")</f>
        <v/>
      </c>
      <c r="B70" s="9">
        <f>IF(Data!C42="","",Data!C42)</f>
        <v/>
      </c>
      <c r="C70" s="11">
        <f>IF(Data!C42="","",Data!G42)</f>
        <v/>
      </c>
      <c r="D70" s="9">
        <f>IF(Data!C42="","",Data!M42)</f>
        <v/>
      </c>
      <c r="E70" s="9">
        <f>IF(Data!C42="","",Data!N42)</f>
        <v/>
      </c>
    </row>
    <row r="71">
      <c r="A71" s="9">
        <f>IF(Data!C43="","","□")</f>
        <v/>
      </c>
      <c r="B71" s="9">
        <f>IF(Data!C43="","",Data!C43)</f>
        <v/>
      </c>
      <c r="C71" s="11">
        <f>IF(Data!C43="","",Data!G43)</f>
        <v/>
      </c>
      <c r="D71" s="9">
        <f>IF(Data!C43="","",Data!M43)</f>
        <v/>
      </c>
      <c r="E71" s="9">
        <f>IF(Data!C43="","",Data!N43)</f>
        <v/>
      </c>
    </row>
    <row r="72">
      <c r="A72" s="9">
        <f>IF(Data!C44="","","□")</f>
        <v/>
      </c>
      <c r="B72" s="9">
        <f>IF(Data!C44="","",Data!C44)</f>
        <v/>
      </c>
      <c r="C72" s="11">
        <f>IF(Data!C44="","",Data!G44)</f>
        <v/>
      </c>
      <c r="D72" s="9">
        <f>IF(Data!C44="","",Data!M44)</f>
        <v/>
      </c>
      <c r="E72" s="9">
        <f>IF(Data!C44="","",Data!N44)</f>
        <v/>
      </c>
    </row>
    <row r="73">
      <c r="A73" s="9">
        <f>IF(Data!C45="","","□")</f>
        <v/>
      </c>
      <c r="B73" s="9">
        <f>IF(Data!C45="","",Data!C45)</f>
        <v/>
      </c>
      <c r="C73" s="11">
        <f>IF(Data!C45="","",Data!G45)</f>
        <v/>
      </c>
      <c r="D73" s="9">
        <f>IF(Data!C45="","",Data!M45)</f>
        <v/>
      </c>
      <c r="E73" s="9">
        <f>IF(Data!C45="","",Data!N45)</f>
        <v/>
      </c>
    </row>
    <row r="74">
      <c r="A74" s="9">
        <f>IF(Data!C46="","","□")</f>
        <v/>
      </c>
      <c r="B74" s="9">
        <f>IF(Data!C46="","",Data!C46)</f>
        <v/>
      </c>
      <c r="C74" s="11">
        <f>IF(Data!C46="","",Data!G46)</f>
        <v/>
      </c>
      <c r="D74" s="9">
        <f>IF(Data!C46="","",Data!M46)</f>
        <v/>
      </c>
      <c r="E74" s="9">
        <f>IF(Data!C46="","",Data!N46)</f>
        <v/>
      </c>
    </row>
    <row r="75">
      <c r="A75" s="9">
        <f>IF(Data!C47="","","□")</f>
        <v/>
      </c>
      <c r="B75" s="9">
        <f>IF(Data!C47="","",Data!C47)</f>
        <v/>
      </c>
      <c r="C75" s="11">
        <f>IF(Data!C47="","",Data!G47)</f>
        <v/>
      </c>
      <c r="D75" s="9">
        <f>IF(Data!C47="","",Data!M47)</f>
        <v/>
      </c>
      <c r="E75" s="9">
        <f>IF(Data!C47="","",Data!N47)</f>
        <v/>
      </c>
    </row>
    <row r="76">
      <c r="A76" s="9">
        <f>IF(Data!C48="","","□")</f>
        <v/>
      </c>
      <c r="B76" s="9">
        <f>IF(Data!C48="","",Data!C48)</f>
        <v/>
      </c>
      <c r="C76" s="11">
        <f>IF(Data!C48="","",Data!G48)</f>
        <v/>
      </c>
      <c r="D76" s="9">
        <f>IF(Data!C48="","",Data!M48)</f>
        <v/>
      </c>
      <c r="E76" s="9">
        <f>IF(Data!C48="","",Data!N48)</f>
        <v/>
      </c>
    </row>
    <row r="77">
      <c r="A77" s="9">
        <f>IF(Data!C49="","","□")</f>
        <v/>
      </c>
      <c r="B77" s="9">
        <f>IF(Data!C49="","",Data!C49)</f>
        <v/>
      </c>
      <c r="C77" s="11">
        <f>IF(Data!C49="","",Data!G49)</f>
        <v/>
      </c>
      <c r="D77" s="9">
        <f>IF(Data!C49="","",Data!M49)</f>
        <v/>
      </c>
      <c r="E77" s="9">
        <f>IF(Data!C49="","",Data!N49)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tabSelected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6" customWidth="1" min="3" max="3"/>
    <col width="13" customWidth="1" min="4" max="4"/>
    <col width="13" customWidth="1" min="5" max="5"/>
    <col width="24" customWidth="1" min="6" max="6"/>
    <col width="18" customWidth="1" min="7" max="7"/>
  </cols>
  <sheetData>
    <row r="1">
      <c r="A1" s="2">
        <f>TODAY()</f>
        <v/>
      </c>
      <c r="C1" s="3" t="inlineStr">
        <is>
          <t>Cloning with Golden-gate assembly</t>
        </is>
      </c>
    </row>
    <row r="2"/>
    <row r="3">
      <c r="A3" s="4" t="inlineStr">
        <is>
          <t>2. Golden-gate assembly</t>
        </is>
      </c>
    </row>
    <row r="4">
      <c r="A4" s="19" t="inlineStr">
        <is>
          <t>□</t>
        </is>
      </c>
      <c r="B4" s="5" t="inlineStr">
        <is>
          <t>Thaw the oligo mix (stored at -30°C), the plasmid and T4 DNA Ligase Reaction Buffer at room temperature</t>
        </is>
      </c>
    </row>
    <row r="5">
      <c r="A5" s="19" t="inlineStr">
        <is>
          <t>□</t>
        </is>
      </c>
      <c r="B5" s="5" t="inlineStr">
        <is>
          <t>Dilute the oligo mix 200-fold with water (final 50 nM): 1 uL oligo mix + 199 uL milliQ</t>
        </is>
      </c>
    </row>
    <row r="6">
      <c r="B6" s="7" t="inlineStr">
        <is>
          <t>For BsaI and BsmBI see 2-1; for the others see 2-2</t>
        </is>
      </c>
    </row>
    <row r="7"/>
    <row r="8">
      <c r="B8" s="3" t="inlineStr">
        <is>
          <t>Samples</t>
        </is>
      </c>
      <c r="C8" s="3">
        <f>C9+C10</f>
        <v/>
      </c>
      <c r="D8" s="6" t="inlineStr">
        <is>
          <t>samples</t>
        </is>
      </c>
    </row>
    <row r="9">
      <c r="B9" s="6" t="inlineStr">
        <is>
          <t>of which 2-1 (BsaI / BsmBI)</t>
        </is>
      </c>
      <c r="C9" s="5">
        <f>COUNTIF($F$44:$F$91,"2-1")</f>
        <v/>
      </c>
      <c r="D9" s="6" t="inlineStr">
        <is>
          <t>samples</t>
        </is>
      </c>
    </row>
    <row r="10">
      <c r="B10" s="6" t="inlineStr">
        <is>
          <t>of which 2-2 (others)</t>
        </is>
      </c>
      <c r="C10" s="5">
        <f>COUNTIF($F$44:$F$91,"2-2")</f>
        <v/>
      </c>
      <c r="D10" s="6" t="inlineStr">
        <is>
          <t>samples</t>
        </is>
      </c>
    </row>
    <row r="11">
      <c r="B11" s="3" t="inlineStr">
        <is>
          <t>Total volume per reaction</t>
        </is>
      </c>
      <c r="C11" s="20" t="n">
        <v>6</v>
      </c>
      <c r="D11" s="6" t="inlineStr">
        <is>
          <t>uL</t>
        </is>
      </c>
    </row>
    <row r="12">
      <c r="B12" s="3" t="inlineStr">
        <is>
          <t>Backbone plasmid</t>
        </is>
      </c>
      <c r="C12" s="21" t="n">
        <v>0.4</v>
      </c>
      <c r="D12" s="6" t="inlineStr">
        <is>
          <t>uL/sample</t>
        </is>
      </c>
      <c r="E12" s="7" t="inlineStr">
        <is>
          <t>No concentration measurement needed (fixed value)</t>
        </is>
      </c>
    </row>
    <row r="13"/>
    <row r="14">
      <c r="B14" s="3" t="inlineStr">
        <is>
          <t>• 2-1. BsaI ligation mix preparation (NEBridge® Golden Gate Enzyme Mix (BsaI-HFv2), E1601, NEB)</t>
        </is>
      </c>
    </row>
    <row r="15">
      <c r="D15" s="22" t="inlineStr">
        <is>
          <t>Mix tubes</t>
        </is>
      </c>
      <c r="E15" s="23">
        <f>IF($C$9=0,0,$C$9+2)</f>
        <v/>
      </c>
      <c r="F15" s="7" t="inlineStr">
        <is>
          <t>tubes (samples + 2)</t>
        </is>
      </c>
    </row>
    <row r="16">
      <c r="A16" s="8" t="inlineStr"/>
      <c r="B16" s="8" t="inlineStr">
        <is>
          <t>Reagent</t>
        </is>
      </c>
      <c r="C16" s="8" t="inlineStr">
        <is>
          <t>Final</t>
        </is>
      </c>
      <c r="D16" s="8" t="inlineStr">
        <is>
          <t>1 sample (uL)</t>
        </is>
      </c>
      <c r="E16" s="8" t="inlineStr">
        <is>
          <t>Mix (uL)</t>
        </is>
      </c>
      <c r="F16" s="8" t="inlineStr">
        <is>
          <t>Notes</t>
        </is>
      </c>
    </row>
    <row r="17">
      <c r="A17" s="9" t="inlineStr">
        <is>
          <t>□</t>
        </is>
      </c>
      <c r="B17" s="10" t="inlineStr">
        <is>
          <t>milliQ</t>
        </is>
      </c>
      <c r="C17" s="11" t="inlineStr"/>
      <c r="D17" s="12">
        <f>$C$11-D18-D19-D21-D22</f>
        <v/>
      </c>
      <c r="E17" s="13">
        <f>D17*$E$15</f>
        <v/>
      </c>
      <c r="F17" s="24" t="inlineStr"/>
    </row>
    <row r="18">
      <c r="A18" s="9" t="inlineStr">
        <is>
          <t>□</t>
        </is>
      </c>
      <c r="B18" s="10" t="inlineStr">
        <is>
          <t>T4 DNA Ligase Reaction Buffer</t>
        </is>
      </c>
      <c r="C18" s="11" t="inlineStr">
        <is>
          <t>1x</t>
        </is>
      </c>
      <c r="D18" s="12" t="n">
        <v>0.6</v>
      </c>
      <c r="E18" s="13">
        <f>D18*$E$15</f>
        <v/>
      </c>
      <c r="F18" s="24" t="inlineStr"/>
    </row>
    <row r="19">
      <c r="A19" s="9" t="inlineStr">
        <is>
          <t>□</t>
        </is>
      </c>
      <c r="B19" s="10" t="inlineStr">
        <is>
          <t>NEBridge Golden Gate Enzyme Mix (BsaI-HFv2)</t>
        </is>
      </c>
      <c r="C19" s="11" t="inlineStr"/>
      <c r="D19" s="12" t="n">
        <v>0.3</v>
      </c>
      <c r="E19" s="13">
        <f>D19*$E$15</f>
        <v/>
      </c>
      <c r="F19" s="24" t="inlineStr"/>
    </row>
    <row r="20">
      <c r="A20" s="14" t="inlineStr"/>
      <c r="B20" s="15" t="inlineStr">
        <is>
          <t>Master mix subtotal</t>
        </is>
      </c>
      <c r="C20" s="14" t="inlineStr"/>
      <c r="D20" s="16">
        <f>SUM(D17:D19)</f>
        <v/>
      </c>
      <c r="E20" s="17">
        <f>SUM(E17:E19)</f>
        <v/>
      </c>
      <c r="F20" s="14" t="inlineStr"/>
    </row>
    <row r="21">
      <c r="A21" s="9" t="inlineStr">
        <is>
          <t>□</t>
        </is>
      </c>
      <c r="B21" s="10" t="inlineStr">
        <is>
          <t>Backbone plasmid</t>
        </is>
      </c>
      <c r="C21" s="11" t="inlineStr">
        <is>
          <t>0.05 pmol</t>
        </is>
      </c>
      <c r="D21" s="12">
        <f>$C$12</f>
        <v/>
      </c>
      <c r="E21" s="10" t="inlineStr"/>
      <c r="F21" s="24" t="inlineStr">
        <is>
          <t>Add to each tube individually</t>
        </is>
      </c>
    </row>
    <row r="22">
      <c r="A22" s="9" t="inlineStr">
        <is>
          <t>□</t>
        </is>
      </c>
      <c r="B22" s="10" t="inlineStr">
        <is>
          <t>50 nM Oligo mix</t>
        </is>
      </c>
      <c r="C22" s="11" t="inlineStr">
        <is>
          <t>0.05 pmol</t>
        </is>
      </c>
      <c r="D22" s="12" t="n">
        <v>0.6</v>
      </c>
      <c r="E22" s="10" t="inlineStr"/>
      <c r="F22" s="24" t="inlineStr">
        <is>
          <t>Add to each tube individually</t>
        </is>
      </c>
    </row>
    <row r="23">
      <c r="A23" s="14" t="inlineStr"/>
      <c r="B23" s="15" t="inlineStr">
        <is>
          <t>Total</t>
        </is>
      </c>
      <c r="C23" s="14" t="inlineStr"/>
      <c r="D23" s="16">
        <f>D20+SUM(D21:D22)</f>
        <v/>
      </c>
      <c r="E23" s="14" t="inlineStr"/>
      <c r="F23" s="18" t="inlineStr">
        <is>
          <t>uL</t>
        </is>
      </c>
    </row>
    <row r="24"/>
    <row r="25">
      <c r="B25" s="3" t="inlineStr">
        <is>
          <t>• 2-2. NEBridge® Ligase Master Mix preparation (M1100, NEB)</t>
        </is>
      </c>
    </row>
    <row r="26">
      <c r="D26" s="22" t="inlineStr">
        <is>
          <t>Mix tubes</t>
        </is>
      </c>
      <c r="E26" s="23">
        <f>IF($C$10=0,0,$C$10+2)</f>
        <v/>
      </c>
      <c r="F26" s="7" t="inlineStr">
        <is>
          <t>tubes (samples + 2)</t>
        </is>
      </c>
    </row>
    <row r="27">
      <c r="A27" s="8" t="inlineStr"/>
      <c r="B27" s="8" t="inlineStr">
        <is>
          <t>Reagent</t>
        </is>
      </c>
      <c r="C27" s="8" t="inlineStr">
        <is>
          <t>Final</t>
        </is>
      </c>
      <c r="D27" s="8" t="inlineStr">
        <is>
          <t>1 sample (uL)</t>
        </is>
      </c>
      <c r="E27" s="8" t="inlineStr">
        <is>
          <t>Mix (uL)</t>
        </is>
      </c>
      <c r="F27" s="8" t="inlineStr">
        <is>
          <t>Notes</t>
        </is>
      </c>
    </row>
    <row r="28">
      <c r="A28" s="9" t="inlineStr">
        <is>
          <t>□</t>
        </is>
      </c>
      <c r="B28" s="10" t="inlineStr">
        <is>
          <t>milliQ</t>
        </is>
      </c>
      <c r="C28" s="11" t="inlineStr"/>
      <c r="D28" s="12">
        <f>$C$11-D29-D30-D32-D33</f>
        <v/>
      </c>
      <c r="E28" s="13">
        <f>D28*$E$26</f>
        <v/>
      </c>
      <c r="F28" s="24" t="inlineStr"/>
    </row>
    <row r="29">
      <c r="A29" s="9" t="inlineStr">
        <is>
          <t>□</t>
        </is>
      </c>
      <c r="B29" s="10" t="inlineStr">
        <is>
          <t>NEBridge Ligase Master Mix</t>
        </is>
      </c>
      <c r="C29" s="11" t="inlineStr">
        <is>
          <t>1x</t>
        </is>
      </c>
      <c r="D29" s="12" t="n">
        <v>2</v>
      </c>
      <c r="E29" s="13">
        <f>D29*$E$26</f>
        <v/>
      </c>
      <c r="F29" s="24" t="inlineStr"/>
    </row>
    <row r="30">
      <c r="A30" s="9" t="inlineStr">
        <is>
          <t>□</t>
        </is>
      </c>
      <c r="B30" s="10" t="inlineStr">
        <is>
          <t>Type IIS RE</t>
        </is>
      </c>
      <c r="C30" s="11" t="inlineStr"/>
      <c r="D30" s="12" t="n">
        <v>0.4</v>
      </c>
      <c r="E30" s="13">
        <f>D30*$E$26</f>
        <v/>
      </c>
      <c r="F30" s="24">
        <f>IFERROR(INDEX($E$44:$E$91,MATCH("2-2",$F$44:$F$91,0)),"")</f>
        <v/>
      </c>
    </row>
    <row r="31">
      <c r="A31" s="14" t="inlineStr"/>
      <c r="B31" s="15" t="inlineStr">
        <is>
          <t>Master mix subtotal</t>
        </is>
      </c>
      <c r="C31" s="14" t="inlineStr"/>
      <c r="D31" s="16">
        <f>SUM(D28:D30)</f>
        <v/>
      </c>
      <c r="E31" s="17">
        <f>SUM(E28:E30)</f>
        <v/>
      </c>
      <c r="F31" s="14" t="inlineStr"/>
    </row>
    <row r="32">
      <c r="A32" s="9" t="inlineStr">
        <is>
          <t>□</t>
        </is>
      </c>
      <c r="B32" s="10" t="inlineStr">
        <is>
          <t>Backbone plasmid</t>
        </is>
      </c>
      <c r="C32" s="11" t="inlineStr">
        <is>
          <t>0.05 pmol</t>
        </is>
      </c>
      <c r="D32" s="12">
        <f>$C$12</f>
        <v/>
      </c>
      <c r="E32" s="10" t="inlineStr"/>
      <c r="F32" s="24" t="inlineStr">
        <is>
          <t>Add to each tube individually</t>
        </is>
      </c>
    </row>
    <row r="33">
      <c r="A33" s="9" t="inlineStr">
        <is>
          <t>□</t>
        </is>
      </c>
      <c r="B33" s="10" t="inlineStr">
        <is>
          <t>50 nM Oligo mix</t>
        </is>
      </c>
      <c r="C33" s="11" t="inlineStr">
        <is>
          <t>0.05 pmol</t>
        </is>
      </c>
      <c r="D33" s="12" t="n">
        <v>0.4</v>
      </c>
      <c r="E33" s="10" t="inlineStr"/>
      <c r="F33" s="24" t="inlineStr">
        <is>
          <t>Add to each tube individually</t>
        </is>
      </c>
    </row>
    <row r="34">
      <c r="A34" s="14" t="inlineStr"/>
      <c r="B34" s="15" t="inlineStr">
        <is>
          <t>Total</t>
        </is>
      </c>
      <c r="C34" s="14" t="inlineStr"/>
      <c r="D34" s="16">
        <f>D31+SUM(D32:D33)</f>
        <v/>
      </c>
      <c r="E34" s="14" t="inlineStr"/>
      <c r="F34" s="18" t="inlineStr">
        <is>
          <t>uL</t>
        </is>
      </c>
    </row>
    <row r="35">
      <c r="B35" s="7" t="inlineStr">
        <is>
          <t>For PaqCI, add 0.2 uL/sample of PaqCI activator</t>
        </is>
      </c>
    </row>
    <row r="36">
      <c r="B36" s="25">
        <f>IF($C$10=0,"",IF(COUNTIFS($F$44:$F$91,"2-2",$E$44:$E$91,$F$30)=$C$10,"","Note: there are several Type IIS REs in 2-2. Split the mix for each enzyme."))</f>
        <v/>
      </c>
    </row>
    <row r="37"/>
    <row r="38">
      <c r="A38" s="19" t="inlineStr">
        <is>
          <t>□</t>
        </is>
      </c>
      <c r="B38" s="5" t="inlineStr">
        <is>
          <t>Mix well by vortexing, then spin down</t>
        </is>
      </c>
    </row>
    <row r="39">
      <c r="A39" s="19" t="inlineStr">
        <is>
          <t>□</t>
        </is>
      </c>
      <c r="B39" s="5" t="inlineStr">
        <is>
          <t>Run the following reaction in a thermal cycler: 37°C 30:00  →  60°C 5:00</t>
        </is>
      </c>
    </row>
    <row r="40">
      <c r="A40" s="19" t="inlineStr">
        <is>
          <t>□</t>
        </is>
      </c>
      <c r="B40" s="5" t="inlineStr">
        <is>
          <t>Pre-warm the required number of LB+Amp plates (4-section plates can be used)</t>
        </is>
      </c>
      <c r="C40" s="23">
        <f>ROUNDUP($C$8/4,0)</f>
        <v/>
      </c>
      <c r="D40" s="6" t="inlineStr">
        <is>
          <t>plates</t>
        </is>
      </c>
    </row>
    <row r="41">
      <c r="B41" s="7" t="inlineStr">
        <is>
          <t>(checkpoint) Can be stored at -30°C</t>
        </is>
      </c>
    </row>
    <row r="42">
      <c r="B42" s="3" t="inlineStr">
        <is>
          <t>Addition per sample</t>
        </is>
      </c>
    </row>
    <row r="43">
      <c r="A43" s="8" t="inlineStr"/>
      <c r="B43" s="8" t="inlineStr">
        <is>
          <t>Sub. No.</t>
        </is>
      </c>
      <c r="C43" s="8" t="inlineStr">
        <is>
          <t>Plasmid name</t>
        </is>
      </c>
      <c r="D43" s="8" t="inlineStr">
        <is>
          <t>Backbone plasmid</t>
        </is>
      </c>
      <c r="E43" s="8" t="inlineStr">
        <is>
          <t>Type IIS RE</t>
        </is>
      </c>
      <c r="F43" s="8" t="inlineStr">
        <is>
          <t>mix</t>
        </is>
      </c>
      <c r="G43" s="8" t="inlineStr">
        <is>
          <t>Oligo mix</t>
        </is>
      </c>
    </row>
    <row r="44">
      <c r="A44" s="9">
        <f>IF(Data!C2="","","□")</f>
        <v/>
      </c>
      <c r="B44" s="9">
        <f>IF(Data!C2="","",Data!C2)</f>
        <v/>
      </c>
      <c r="C44" s="11">
        <f>IF(Data!C2="","",Data!G2)</f>
        <v/>
      </c>
      <c r="D44" s="9">
        <f>IF(Data!C2="","",Data!J2)</f>
        <v/>
      </c>
      <c r="E44" s="9">
        <f>IF(Data!C2="","",Data!H2)</f>
        <v/>
      </c>
      <c r="F44" s="9">
        <f>IF(Data!C2="","",IF(OR(LEFT(Data!H2,4)="BsaI",LEFT(Data!H2,5)="BsmBI"),"2-1","2-2"))</f>
        <v/>
      </c>
      <c r="G44" s="9">
        <f>IF(Data!C2="","",Data!M2&amp;" / "&amp;Data!N2)</f>
        <v/>
      </c>
    </row>
    <row r="45">
      <c r="A45" s="9">
        <f>IF(Data!C3="","","□")</f>
        <v/>
      </c>
      <c r="B45" s="9">
        <f>IF(Data!C3="","",Data!C3)</f>
        <v/>
      </c>
      <c r="C45" s="11">
        <f>IF(Data!C3="","",Data!G3)</f>
        <v/>
      </c>
      <c r="D45" s="9">
        <f>IF(Data!C3="","",Data!J3)</f>
        <v/>
      </c>
      <c r="E45" s="9">
        <f>IF(Data!C3="","",Data!H3)</f>
        <v/>
      </c>
      <c r="F45" s="9">
        <f>IF(Data!C3="","",IF(OR(LEFT(Data!H3,4)="BsaI",LEFT(Data!H3,5)="BsmBI"),"2-1","2-2"))</f>
        <v/>
      </c>
      <c r="G45" s="9">
        <f>IF(Data!C3="","",Data!M3&amp;" / "&amp;Data!N3)</f>
        <v/>
      </c>
    </row>
    <row r="46">
      <c r="A46" s="9">
        <f>IF(Data!C4="","","□")</f>
        <v/>
      </c>
      <c r="B46" s="9">
        <f>IF(Data!C4="","",Data!C4)</f>
        <v/>
      </c>
      <c r="C46" s="11">
        <f>IF(Data!C4="","",Data!G4)</f>
        <v/>
      </c>
      <c r="D46" s="9">
        <f>IF(Data!C4="","",Data!J4)</f>
        <v/>
      </c>
      <c r="E46" s="9">
        <f>IF(Data!C4="","",Data!H4)</f>
        <v/>
      </c>
      <c r="F46" s="9">
        <f>IF(Data!C4="","",IF(OR(LEFT(Data!H4,4)="BsaI",LEFT(Data!H4,5)="BsmBI"),"2-1","2-2"))</f>
        <v/>
      </c>
      <c r="G46" s="9">
        <f>IF(Data!C4="","",Data!M4&amp;" / "&amp;Data!N4)</f>
        <v/>
      </c>
    </row>
    <row r="47">
      <c r="A47" s="9">
        <f>IF(Data!C5="","","□")</f>
        <v/>
      </c>
      <c r="B47" s="9">
        <f>IF(Data!C5="","",Data!C5)</f>
        <v/>
      </c>
      <c r="C47" s="11">
        <f>IF(Data!C5="","",Data!G5)</f>
        <v/>
      </c>
      <c r="D47" s="9">
        <f>IF(Data!C5="","",Data!J5)</f>
        <v/>
      </c>
      <c r="E47" s="9">
        <f>IF(Data!C5="","",Data!H5)</f>
        <v/>
      </c>
      <c r="F47" s="9">
        <f>IF(Data!C5="","",IF(OR(LEFT(Data!H5,4)="BsaI",LEFT(Data!H5,5)="BsmBI"),"2-1","2-2"))</f>
        <v/>
      </c>
      <c r="G47" s="9">
        <f>IF(Data!C5="","",Data!M5&amp;" / "&amp;Data!N5)</f>
        <v/>
      </c>
    </row>
    <row r="48">
      <c r="A48" s="9">
        <f>IF(Data!C6="","","□")</f>
        <v/>
      </c>
      <c r="B48" s="9">
        <f>IF(Data!C6="","",Data!C6)</f>
        <v/>
      </c>
      <c r="C48" s="11">
        <f>IF(Data!C6="","",Data!G6)</f>
        <v/>
      </c>
      <c r="D48" s="9">
        <f>IF(Data!C6="","",Data!J6)</f>
        <v/>
      </c>
      <c r="E48" s="9">
        <f>IF(Data!C6="","",Data!H6)</f>
        <v/>
      </c>
      <c r="F48" s="9">
        <f>IF(Data!C6="","",IF(OR(LEFT(Data!H6,4)="BsaI",LEFT(Data!H6,5)="BsmBI"),"2-1","2-2"))</f>
        <v/>
      </c>
      <c r="G48" s="9">
        <f>IF(Data!C6="","",Data!M6&amp;" / "&amp;Data!N6)</f>
        <v/>
      </c>
    </row>
    <row r="49">
      <c r="A49" s="9">
        <f>IF(Data!C7="","","□")</f>
        <v/>
      </c>
      <c r="B49" s="9">
        <f>IF(Data!C7="","",Data!C7)</f>
        <v/>
      </c>
      <c r="C49" s="11">
        <f>IF(Data!C7="","",Data!G7)</f>
        <v/>
      </c>
      <c r="D49" s="9">
        <f>IF(Data!C7="","",Data!J7)</f>
        <v/>
      </c>
      <c r="E49" s="9">
        <f>IF(Data!C7="","",Data!H7)</f>
        <v/>
      </c>
      <c r="F49" s="9">
        <f>IF(Data!C7="","",IF(OR(LEFT(Data!H7,4)="BsaI",LEFT(Data!H7,5)="BsmBI"),"2-1","2-2"))</f>
        <v/>
      </c>
      <c r="G49" s="9">
        <f>IF(Data!C7="","",Data!M7&amp;" / "&amp;Data!N7)</f>
        <v/>
      </c>
    </row>
    <row r="50">
      <c r="A50" s="9">
        <f>IF(Data!C8="","","□")</f>
        <v/>
      </c>
      <c r="B50" s="9">
        <f>IF(Data!C8="","",Data!C8)</f>
        <v/>
      </c>
      <c r="C50" s="11">
        <f>IF(Data!C8="","",Data!G8)</f>
        <v/>
      </c>
      <c r="D50" s="9">
        <f>IF(Data!C8="","",Data!J8)</f>
        <v/>
      </c>
      <c r="E50" s="9">
        <f>IF(Data!C8="","",Data!H8)</f>
        <v/>
      </c>
      <c r="F50" s="9">
        <f>IF(Data!C8="","",IF(OR(LEFT(Data!H8,4)="BsaI",LEFT(Data!H8,5)="BsmBI"),"2-1","2-2"))</f>
        <v/>
      </c>
      <c r="G50" s="9">
        <f>IF(Data!C8="","",Data!M8&amp;" / "&amp;Data!N8)</f>
        <v/>
      </c>
    </row>
    <row r="51">
      <c r="A51" s="9">
        <f>IF(Data!C9="","","□")</f>
        <v/>
      </c>
      <c r="B51" s="9">
        <f>IF(Data!C9="","",Data!C9)</f>
        <v/>
      </c>
      <c r="C51" s="11">
        <f>IF(Data!C9="","",Data!G9)</f>
        <v/>
      </c>
      <c r="D51" s="9">
        <f>IF(Data!C9="","",Data!J9)</f>
        <v/>
      </c>
      <c r="E51" s="9">
        <f>IF(Data!C9="","",Data!H9)</f>
        <v/>
      </c>
      <c r="F51" s="9">
        <f>IF(Data!C9="","",IF(OR(LEFT(Data!H9,4)="BsaI",LEFT(Data!H9,5)="BsmBI"),"2-1","2-2"))</f>
        <v/>
      </c>
      <c r="G51" s="9">
        <f>IF(Data!C9="","",Data!M9&amp;" / "&amp;Data!N9)</f>
        <v/>
      </c>
    </row>
    <row r="52">
      <c r="A52" s="9">
        <f>IF(Data!C10="","","□")</f>
        <v/>
      </c>
      <c r="B52" s="9">
        <f>IF(Data!C10="","",Data!C10)</f>
        <v/>
      </c>
      <c r="C52" s="11">
        <f>IF(Data!C10="","",Data!G10)</f>
        <v/>
      </c>
      <c r="D52" s="9">
        <f>IF(Data!C10="","",Data!J10)</f>
        <v/>
      </c>
      <c r="E52" s="9">
        <f>IF(Data!C10="","",Data!H10)</f>
        <v/>
      </c>
      <c r="F52" s="9">
        <f>IF(Data!C10="","",IF(OR(LEFT(Data!H10,4)="BsaI",LEFT(Data!H10,5)="BsmBI"),"2-1","2-2"))</f>
        <v/>
      </c>
      <c r="G52" s="9">
        <f>IF(Data!C10="","",Data!M10&amp;" / "&amp;Data!N10)</f>
        <v/>
      </c>
    </row>
    <row r="53">
      <c r="A53" s="9">
        <f>IF(Data!C11="","","□")</f>
        <v/>
      </c>
      <c r="B53" s="9">
        <f>IF(Data!C11="","",Data!C11)</f>
        <v/>
      </c>
      <c r="C53" s="11">
        <f>IF(Data!C11="","",Data!G11)</f>
        <v/>
      </c>
      <c r="D53" s="9">
        <f>IF(Data!C11="","",Data!J11)</f>
        <v/>
      </c>
      <c r="E53" s="9">
        <f>IF(Data!C11="","",Data!H11)</f>
        <v/>
      </c>
      <c r="F53" s="9">
        <f>IF(Data!C11="","",IF(OR(LEFT(Data!H11,4)="BsaI",LEFT(Data!H11,5)="BsmBI"),"2-1","2-2"))</f>
        <v/>
      </c>
      <c r="G53" s="9">
        <f>IF(Data!C11="","",Data!M11&amp;" / "&amp;Data!N11)</f>
        <v/>
      </c>
    </row>
    <row r="54">
      <c r="A54" s="9">
        <f>IF(Data!C12="","","□")</f>
        <v/>
      </c>
      <c r="B54" s="9">
        <f>IF(Data!C12="","",Data!C12)</f>
        <v/>
      </c>
      <c r="C54" s="11">
        <f>IF(Data!C12="","",Data!G12)</f>
        <v/>
      </c>
      <c r="D54" s="9">
        <f>IF(Data!C12="","",Data!J12)</f>
        <v/>
      </c>
      <c r="E54" s="9">
        <f>IF(Data!C12="","",Data!H12)</f>
        <v/>
      </c>
      <c r="F54" s="9">
        <f>IF(Data!C12="","",IF(OR(LEFT(Data!H12,4)="BsaI",LEFT(Data!H12,5)="BsmBI"),"2-1","2-2"))</f>
        <v/>
      </c>
      <c r="G54" s="9">
        <f>IF(Data!C12="","",Data!M12&amp;" / "&amp;Data!N12)</f>
        <v/>
      </c>
    </row>
    <row r="55">
      <c r="A55" s="9">
        <f>IF(Data!C13="","","□")</f>
        <v/>
      </c>
      <c r="B55" s="9">
        <f>IF(Data!C13="","",Data!C13)</f>
        <v/>
      </c>
      <c r="C55" s="11">
        <f>IF(Data!C13="","",Data!G13)</f>
        <v/>
      </c>
      <c r="D55" s="9">
        <f>IF(Data!C13="","",Data!J13)</f>
        <v/>
      </c>
      <c r="E55" s="9">
        <f>IF(Data!C13="","",Data!H13)</f>
        <v/>
      </c>
      <c r="F55" s="9">
        <f>IF(Data!C13="","",IF(OR(LEFT(Data!H13,4)="BsaI",LEFT(Data!H13,5)="BsmBI"),"2-1","2-2"))</f>
        <v/>
      </c>
      <c r="G55" s="9">
        <f>IF(Data!C13="","",Data!M13&amp;" / "&amp;Data!N13)</f>
        <v/>
      </c>
    </row>
    <row r="56">
      <c r="A56" s="9">
        <f>IF(Data!C14="","","□")</f>
        <v/>
      </c>
      <c r="B56" s="9">
        <f>IF(Data!C14="","",Data!C14)</f>
        <v/>
      </c>
      <c r="C56" s="11">
        <f>IF(Data!C14="","",Data!G14)</f>
        <v/>
      </c>
      <c r="D56" s="9">
        <f>IF(Data!C14="","",Data!J14)</f>
        <v/>
      </c>
      <c r="E56" s="9">
        <f>IF(Data!C14="","",Data!H14)</f>
        <v/>
      </c>
      <c r="F56" s="9">
        <f>IF(Data!C14="","",IF(OR(LEFT(Data!H14,4)="BsaI",LEFT(Data!H14,5)="BsmBI"),"2-1","2-2"))</f>
        <v/>
      </c>
      <c r="G56" s="9">
        <f>IF(Data!C14="","",Data!M14&amp;" / "&amp;Data!N14)</f>
        <v/>
      </c>
    </row>
    <row r="57">
      <c r="A57" s="9">
        <f>IF(Data!C15="","","□")</f>
        <v/>
      </c>
      <c r="B57" s="9">
        <f>IF(Data!C15="","",Data!C15)</f>
        <v/>
      </c>
      <c r="C57" s="11">
        <f>IF(Data!C15="","",Data!G15)</f>
        <v/>
      </c>
      <c r="D57" s="9">
        <f>IF(Data!C15="","",Data!J15)</f>
        <v/>
      </c>
      <c r="E57" s="9">
        <f>IF(Data!C15="","",Data!H15)</f>
        <v/>
      </c>
      <c r="F57" s="9">
        <f>IF(Data!C15="","",IF(OR(LEFT(Data!H15,4)="BsaI",LEFT(Data!H15,5)="BsmBI"),"2-1","2-2"))</f>
        <v/>
      </c>
      <c r="G57" s="9">
        <f>IF(Data!C15="","",Data!M15&amp;" / "&amp;Data!N15)</f>
        <v/>
      </c>
    </row>
    <row r="58">
      <c r="A58" s="9">
        <f>IF(Data!C16="","","□")</f>
        <v/>
      </c>
      <c r="B58" s="9">
        <f>IF(Data!C16="","",Data!C16)</f>
        <v/>
      </c>
      <c r="C58" s="11">
        <f>IF(Data!C16="","",Data!G16)</f>
        <v/>
      </c>
      <c r="D58" s="9">
        <f>IF(Data!C16="","",Data!J16)</f>
        <v/>
      </c>
      <c r="E58" s="9">
        <f>IF(Data!C16="","",Data!H16)</f>
        <v/>
      </c>
      <c r="F58" s="9">
        <f>IF(Data!C16="","",IF(OR(LEFT(Data!H16,4)="BsaI",LEFT(Data!H16,5)="BsmBI"),"2-1","2-2"))</f>
        <v/>
      </c>
      <c r="G58" s="9">
        <f>IF(Data!C16="","",Data!M16&amp;" / "&amp;Data!N16)</f>
        <v/>
      </c>
    </row>
    <row r="59">
      <c r="A59" s="9">
        <f>IF(Data!C17="","","□")</f>
        <v/>
      </c>
      <c r="B59" s="9">
        <f>IF(Data!C17="","",Data!C17)</f>
        <v/>
      </c>
      <c r="C59" s="11">
        <f>IF(Data!C17="","",Data!G17)</f>
        <v/>
      </c>
      <c r="D59" s="9">
        <f>IF(Data!C17="","",Data!J17)</f>
        <v/>
      </c>
      <c r="E59" s="9">
        <f>IF(Data!C17="","",Data!H17)</f>
        <v/>
      </c>
      <c r="F59" s="9">
        <f>IF(Data!C17="","",IF(OR(LEFT(Data!H17,4)="BsaI",LEFT(Data!H17,5)="BsmBI"),"2-1","2-2"))</f>
        <v/>
      </c>
      <c r="G59" s="9">
        <f>IF(Data!C17="","",Data!M17&amp;" / "&amp;Data!N17)</f>
        <v/>
      </c>
    </row>
    <row r="60">
      <c r="A60" s="9">
        <f>IF(Data!C18="","","□")</f>
        <v/>
      </c>
      <c r="B60" s="9">
        <f>IF(Data!C18="","",Data!C18)</f>
        <v/>
      </c>
      <c r="C60" s="11">
        <f>IF(Data!C18="","",Data!G18)</f>
        <v/>
      </c>
      <c r="D60" s="9">
        <f>IF(Data!C18="","",Data!J18)</f>
        <v/>
      </c>
      <c r="E60" s="9">
        <f>IF(Data!C18="","",Data!H18)</f>
        <v/>
      </c>
      <c r="F60" s="9">
        <f>IF(Data!C18="","",IF(OR(LEFT(Data!H18,4)="BsaI",LEFT(Data!H18,5)="BsmBI"),"2-1","2-2"))</f>
        <v/>
      </c>
      <c r="G60" s="9">
        <f>IF(Data!C18="","",Data!M18&amp;" / "&amp;Data!N18)</f>
        <v/>
      </c>
    </row>
    <row r="61">
      <c r="A61" s="9">
        <f>IF(Data!C19="","","□")</f>
        <v/>
      </c>
      <c r="B61" s="9">
        <f>IF(Data!C19="","",Data!C19)</f>
        <v/>
      </c>
      <c r="C61" s="11">
        <f>IF(Data!C19="","",Data!G19)</f>
        <v/>
      </c>
      <c r="D61" s="9">
        <f>IF(Data!C19="","",Data!J19)</f>
        <v/>
      </c>
      <c r="E61" s="9">
        <f>IF(Data!C19="","",Data!H19)</f>
        <v/>
      </c>
      <c r="F61" s="9">
        <f>IF(Data!C19="","",IF(OR(LEFT(Data!H19,4)="BsaI",LEFT(Data!H19,5)="BsmBI"),"2-1","2-2"))</f>
        <v/>
      </c>
      <c r="G61" s="9">
        <f>IF(Data!C19="","",Data!M19&amp;" / "&amp;Data!N19)</f>
        <v/>
      </c>
    </row>
    <row r="62">
      <c r="A62" s="9">
        <f>IF(Data!C20="","","□")</f>
        <v/>
      </c>
      <c r="B62" s="9">
        <f>IF(Data!C20="","",Data!C20)</f>
        <v/>
      </c>
      <c r="C62" s="11">
        <f>IF(Data!C20="","",Data!G20)</f>
        <v/>
      </c>
      <c r="D62" s="9">
        <f>IF(Data!C20="","",Data!J20)</f>
        <v/>
      </c>
      <c r="E62" s="9">
        <f>IF(Data!C20="","",Data!H20)</f>
        <v/>
      </c>
      <c r="F62" s="9">
        <f>IF(Data!C20="","",IF(OR(LEFT(Data!H20,4)="BsaI",LEFT(Data!H20,5)="BsmBI"),"2-1","2-2"))</f>
        <v/>
      </c>
      <c r="G62" s="9">
        <f>IF(Data!C20="","",Data!M20&amp;" / "&amp;Data!N20)</f>
        <v/>
      </c>
    </row>
    <row r="63">
      <c r="A63" s="9">
        <f>IF(Data!C21="","","□")</f>
        <v/>
      </c>
      <c r="B63" s="9">
        <f>IF(Data!C21="","",Data!C21)</f>
        <v/>
      </c>
      <c r="C63" s="11">
        <f>IF(Data!C21="","",Data!G21)</f>
        <v/>
      </c>
      <c r="D63" s="9">
        <f>IF(Data!C21="","",Data!J21)</f>
        <v/>
      </c>
      <c r="E63" s="9">
        <f>IF(Data!C21="","",Data!H21)</f>
        <v/>
      </c>
      <c r="F63" s="9">
        <f>IF(Data!C21="","",IF(OR(LEFT(Data!H21,4)="BsaI",LEFT(Data!H21,5)="BsmBI"),"2-1","2-2"))</f>
        <v/>
      </c>
      <c r="G63" s="9">
        <f>IF(Data!C21="","",Data!M21&amp;" / "&amp;Data!N21)</f>
        <v/>
      </c>
    </row>
    <row r="64">
      <c r="A64" s="9">
        <f>IF(Data!C22="","","□")</f>
        <v/>
      </c>
      <c r="B64" s="9">
        <f>IF(Data!C22="","",Data!C22)</f>
        <v/>
      </c>
      <c r="C64" s="11">
        <f>IF(Data!C22="","",Data!G22)</f>
        <v/>
      </c>
      <c r="D64" s="9">
        <f>IF(Data!C22="","",Data!J22)</f>
        <v/>
      </c>
      <c r="E64" s="9">
        <f>IF(Data!C22="","",Data!H22)</f>
        <v/>
      </c>
      <c r="F64" s="9">
        <f>IF(Data!C22="","",IF(OR(LEFT(Data!H22,4)="BsaI",LEFT(Data!H22,5)="BsmBI"),"2-1","2-2"))</f>
        <v/>
      </c>
      <c r="G64" s="9">
        <f>IF(Data!C22="","",Data!M22&amp;" / "&amp;Data!N22)</f>
        <v/>
      </c>
    </row>
    <row r="65">
      <c r="A65" s="9">
        <f>IF(Data!C23="","","□")</f>
        <v/>
      </c>
      <c r="B65" s="9">
        <f>IF(Data!C23="","",Data!C23)</f>
        <v/>
      </c>
      <c r="C65" s="11">
        <f>IF(Data!C23="","",Data!G23)</f>
        <v/>
      </c>
      <c r="D65" s="9">
        <f>IF(Data!C23="","",Data!J23)</f>
        <v/>
      </c>
      <c r="E65" s="9">
        <f>IF(Data!C23="","",Data!H23)</f>
        <v/>
      </c>
      <c r="F65" s="9">
        <f>IF(Data!C23="","",IF(OR(LEFT(Data!H23,4)="BsaI",LEFT(Data!H23,5)="BsmBI"),"2-1","2-2"))</f>
        <v/>
      </c>
      <c r="G65" s="9">
        <f>IF(Data!C23="","",Data!M23&amp;" / "&amp;Data!N23)</f>
        <v/>
      </c>
    </row>
    <row r="66">
      <c r="A66" s="9">
        <f>IF(Data!C24="","","□")</f>
        <v/>
      </c>
      <c r="B66" s="9">
        <f>IF(Data!C24="","",Data!C24)</f>
        <v/>
      </c>
      <c r="C66" s="11">
        <f>IF(Data!C24="","",Data!G24)</f>
        <v/>
      </c>
      <c r="D66" s="9">
        <f>IF(Data!C24="","",Data!J24)</f>
        <v/>
      </c>
      <c r="E66" s="9">
        <f>IF(Data!C24="","",Data!H24)</f>
        <v/>
      </c>
      <c r="F66" s="9">
        <f>IF(Data!C24="","",IF(OR(LEFT(Data!H24,4)="BsaI",LEFT(Data!H24,5)="BsmBI"),"2-1","2-2"))</f>
        <v/>
      </c>
      <c r="G66" s="9">
        <f>IF(Data!C24="","",Data!M24&amp;" / "&amp;Data!N24)</f>
        <v/>
      </c>
    </row>
    <row r="67">
      <c r="A67" s="9">
        <f>IF(Data!C25="","","□")</f>
        <v/>
      </c>
      <c r="B67" s="9">
        <f>IF(Data!C25="","",Data!C25)</f>
        <v/>
      </c>
      <c r="C67" s="11">
        <f>IF(Data!C25="","",Data!G25)</f>
        <v/>
      </c>
      <c r="D67" s="9">
        <f>IF(Data!C25="","",Data!J25)</f>
        <v/>
      </c>
      <c r="E67" s="9">
        <f>IF(Data!C25="","",Data!H25)</f>
        <v/>
      </c>
      <c r="F67" s="9">
        <f>IF(Data!C25="","",IF(OR(LEFT(Data!H25,4)="BsaI",LEFT(Data!H25,5)="BsmBI"),"2-1","2-2"))</f>
        <v/>
      </c>
      <c r="G67" s="9">
        <f>IF(Data!C25="","",Data!M25&amp;" / "&amp;Data!N25)</f>
        <v/>
      </c>
    </row>
    <row r="68">
      <c r="A68" s="9">
        <f>IF(Data!C26="","","□")</f>
        <v/>
      </c>
      <c r="B68" s="9">
        <f>IF(Data!C26="","",Data!C26)</f>
        <v/>
      </c>
      <c r="C68" s="11">
        <f>IF(Data!C26="","",Data!G26)</f>
        <v/>
      </c>
      <c r="D68" s="9">
        <f>IF(Data!C26="","",Data!J26)</f>
        <v/>
      </c>
      <c r="E68" s="9">
        <f>IF(Data!C26="","",Data!H26)</f>
        <v/>
      </c>
      <c r="F68" s="9">
        <f>IF(Data!C26="","",IF(OR(LEFT(Data!H26,4)="BsaI",LEFT(Data!H26,5)="BsmBI"),"2-1","2-2"))</f>
        <v/>
      </c>
      <c r="G68" s="9">
        <f>IF(Data!C26="","",Data!M26&amp;" / "&amp;Data!N26)</f>
        <v/>
      </c>
    </row>
    <row r="69">
      <c r="A69" s="9">
        <f>IF(Data!C27="","","□")</f>
        <v/>
      </c>
      <c r="B69" s="9">
        <f>IF(Data!C27="","",Data!C27)</f>
        <v/>
      </c>
      <c r="C69" s="11">
        <f>IF(Data!C27="","",Data!G27)</f>
        <v/>
      </c>
      <c r="D69" s="9">
        <f>IF(Data!C27="","",Data!J27)</f>
        <v/>
      </c>
      <c r="E69" s="9">
        <f>IF(Data!C27="","",Data!H27)</f>
        <v/>
      </c>
      <c r="F69" s="9">
        <f>IF(Data!C27="","",IF(OR(LEFT(Data!H27,4)="BsaI",LEFT(Data!H27,5)="BsmBI"),"2-1","2-2"))</f>
        <v/>
      </c>
      <c r="G69" s="9">
        <f>IF(Data!C27="","",Data!M27&amp;" / "&amp;Data!N27)</f>
        <v/>
      </c>
    </row>
    <row r="70">
      <c r="A70" s="9">
        <f>IF(Data!C28="","","□")</f>
        <v/>
      </c>
      <c r="B70" s="9">
        <f>IF(Data!C28="","",Data!C28)</f>
        <v/>
      </c>
      <c r="C70" s="11">
        <f>IF(Data!C28="","",Data!G28)</f>
        <v/>
      </c>
      <c r="D70" s="9">
        <f>IF(Data!C28="","",Data!J28)</f>
        <v/>
      </c>
      <c r="E70" s="9">
        <f>IF(Data!C28="","",Data!H28)</f>
        <v/>
      </c>
      <c r="F70" s="9">
        <f>IF(Data!C28="","",IF(OR(LEFT(Data!H28,4)="BsaI",LEFT(Data!H28,5)="BsmBI"),"2-1","2-2"))</f>
        <v/>
      </c>
      <c r="G70" s="9">
        <f>IF(Data!C28="","",Data!M28&amp;" / "&amp;Data!N28)</f>
        <v/>
      </c>
    </row>
    <row r="71">
      <c r="A71" s="9">
        <f>IF(Data!C29="","","□")</f>
        <v/>
      </c>
      <c r="B71" s="9">
        <f>IF(Data!C29="","",Data!C29)</f>
        <v/>
      </c>
      <c r="C71" s="11">
        <f>IF(Data!C29="","",Data!G29)</f>
        <v/>
      </c>
      <c r="D71" s="9">
        <f>IF(Data!C29="","",Data!J29)</f>
        <v/>
      </c>
      <c r="E71" s="9">
        <f>IF(Data!C29="","",Data!H29)</f>
        <v/>
      </c>
      <c r="F71" s="9">
        <f>IF(Data!C29="","",IF(OR(LEFT(Data!H29,4)="BsaI",LEFT(Data!H29,5)="BsmBI"),"2-1","2-2"))</f>
        <v/>
      </c>
      <c r="G71" s="9">
        <f>IF(Data!C29="","",Data!M29&amp;" / "&amp;Data!N29)</f>
        <v/>
      </c>
    </row>
    <row r="72">
      <c r="A72" s="9">
        <f>IF(Data!C30="","","□")</f>
        <v/>
      </c>
      <c r="B72" s="9">
        <f>IF(Data!C30="","",Data!C30)</f>
        <v/>
      </c>
      <c r="C72" s="11">
        <f>IF(Data!C30="","",Data!G30)</f>
        <v/>
      </c>
      <c r="D72" s="9">
        <f>IF(Data!C30="","",Data!J30)</f>
        <v/>
      </c>
      <c r="E72" s="9">
        <f>IF(Data!C30="","",Data!H30)</f>
        <v/>
      </c>
      <c r="F72" s="9">
        <f>IF(Data!C30="","",IF(OR(LEFT(Data!H30,4)="BsaI",LEFT(Data!H30,5)="BsmBI"),"2-1","2-2"))</f>
        <v/>
      </c>
      <c r="G72" s="9">
        <f>IF(Data!C30="","",Data!M30&amp;" / "&amp;Data!N30)</f>
        <v/>
      </c>
    </row>
    <row r="73">
      <c r="A73" s="9">
        <f>IF(Data!C31="","","□")</f>
        <v/>
      </c>
      <c r="B73" s="9">
        <f>IF(Data!C31="","",Data!C31)</f>
        <v/>
      </c>
      <c r="C73" s="11">
        <f>IF(Data!C31="","",Data!G31)</f>
        <v/>
      </c>
      <c r="D73" s="9">
        <f>IF(Data!C31="","",Data!J31)</f>
        <v/>
      </c>
      <c r="E73" s="9">
        <f>IF(Data!C31="","",Data!H31)</f>
        <v/>
      </c>
      <c r="F73" s="9">
        <f>IF(Data!C31="","",IF(OR(LEFT(Data!H31,4)="BsaI",LEFT(Data!H31,5)="BsmBI"),"2-1","2-2"))</f>
        <v/>
      </c>
      <c r="G73" s="9">
        <f>IF(Data!C31="","",Data!M31&amp;" / "&amp;Data!N31)</f>
        <v/>
      </c>
    </row>
    <row r="74">
      <c r="A74" s="9">
        <f>IF(Data!C32="","","□")</f>
        <v/>
      </c>
      <c r="B74" s="9">
        <f>IF(Data!C32="","",Data!C32)</f>
        <v/>
      </c>
      <c r="C74" s="11">
        <f>IF(Data!C32="","",Data!G32)</f>
        <v/>
      </c>
      <c r="D74" s="9">
        <f>IF(Data!C32="","",Data!J32)</f>
        <v/>
      </c>
      <c r="E74" s="9">
        <f>IF(Data!C32="","",Data!H32)</f>
        <v/>
      </c>
      <c r="F74" s="9">
        <f>IF(Data!C32="","",IF(OR(LEFT(Data!H32,4)="BsaI",LEFT(Data!H32,5)="BsmBI"),"2-1","2-2"))</f>
        <v/>
      </c>
      <c r="G74" s="9">
        <f>IF(Data!C32="","",Data!M32&amp;" / "&amp;Data!N32)</f>
        <v/>
      </c>
    </row>
    <row r="75">
      <c r="A75" s="9">
        <f>IF(Data!C33="","","□")</f>
        <v/>
      </c>
      <c r="B75" s="9">
        <f>IF(Data!C33="","",Data!C33)</f>
        <v/>
      </c>
      <c r="C75" s="11">
        <f>IF(Data!C33="","",Data!G33)</f>
        <v/>
      </c>
      <c r="D75" s="9">
        <f>IF(Data!C33="","",Data!J33)</f>
        <v/>
      </c>
      <c r="E75" s="9">
        <f>IF(Data!C33="","",Data!H33)</f>
        <v/>
      </c>
      <c r="F75" s="9">
        <f>IF(Data!C33="","",IF(OR(LEFT(Data!H33,4)="BsaI",LEFT(Data!H33,5)="BsmBI"),"2-1","2-2"))</f>
        <v/>
      </c>
      <c r="G75" s="9">
        <f>IF(Data!C33="","",Data!M33&amp;" / "&amp;Data!N33)</f>
        <v/>
      </c>
    </row>
    <row r="76">
      <c r="A76" s="9">
        <f>IF(Data!C34="","","□")</f>
        <v/>
      </c>
      <c r="B76" s="9">
        <f>IF(Data!C34="","",Data!C34)</f>
        <v/>
      </c>
      <c r="C76" s="11">
        <f>IF(Data!C34="","",Data!G34)</f>
        <v/>
      </c>
      <c r="D76" s="9">
        <f>IF(Data!C34="","",Data!J34)</f>
        <v/>
      </c>
      <c r="E76" s="9">
        <f>IF(Data!C34="","",Data!H34)</f>
        <v/>
      </c>
      <c r="F76" s="9">
        <f>IF(Data!C34="","",IF(OR(LEFT(Data!H34,4)="BsaI",LEFT(Data!H34,5)="BsmBI"),"2-1","2-2"))</f>
        <v/>
      </c>
      <c r="G76" s="9">
        <f>IF(Data!C34="","",Data!M34&amp;" / "&amp;Data!N34)</f>
        <v/>
      </c>
    </row>
    <row r="77">
      <c r="A77" s="9">
        <f>IF(Data!C35="","","□")</f>
        <v/>
      </c>
      <c r="B77" s="9">
        <f>IF(Data!C35="","",Data!C35)</f>
        <v/>
      </c>
      <c r="C77" s="11">
        <f>IF(Data!C35="","",Data!G35)</f>
        <v/>
      </c>
      <c r="D77" s="9">
        <f>IF(Data!C35="","",Data!J35)</f>
        <v/>
      </c>
      <c r="E77" s="9">
        <f>IF(Data!C35="","",Data!H35)</f>
        <v/>
      </c>
      <c r="F77" s="9">
        <f>IF(Data!C35="","",IF(OR(LEFT(Data!H35,4)="BsaI",LEFT(Data!H35,5)="BsmBI"),"2-1","2-2"))</f>
        <v/>
      </c>
      <c r="G77" s="9">
        <f>IF(Data!C35="","",Data!M35&amp;" / "&amp;Data!N35)</f>
        <v/>
      </c>
    </row>
    <row r="78">
      <c r="A78" s="9">
        <f>IF(Data!C36="","","□")</f>
        <v/>
      </c>
      <c r="B78" s="9">
        <f>IF(Data!C36="","",Data!C36)</f>
        <v/>
      </c>
      <c r="C78" s="11">
        <f>IF(Data!C36="","",Data!G36)</f>
        <v/>
      </c>
      <c r="D78" s="9">
        <f>IF(Data!C36="","",Data!J36)</f>
        <v/>
      </c>
      <c r="E78" s="9">
        <f>IF(Data!C36="","",Data!H36)</f>
        <v/>
      </c>
      <c r="F78" s="9">
        <f>IF(Data!C36="","",IF(OR(LEFT(Data!H36,4)="BsaI",LEFT(Data!H36,5)="BsmBI"),"2-1","2-2"))</f>
        <v/>
      </c>
      <c r="G78" s="9">
        <f>IF(Data!C36="","",Data!M36&amp;" / "&amp;Data!N36)</f>
        <v/>
      </c>
    </row>
    <row r="79">
      <c r="A79" s="9">
        <f>IF(Data!C37="","","□")</f>
        <v/>
      </c>
      <c r="B79" s="9">
        <f>IF(Data!C37="","",Data!C37)</f>
        <v/>
      </c>
      <c r="C79" s="11">
        <f>IF(Data!C37="","",Data!G37)</f>
        <v/>
      </c>
      <c r="D79" s="9">
        <f>IF(Data!C37="","",Data!J37)</f>
        <v/>
      </c>
      <c r="E79" s="9">
        <f>IF(Data!C37="","",Data!H37)</f>
        <v/>
      </c>
      <c r="F79" s="9">
        <f>IF(Data!C37="","",IF(OR(LEFT(Data!H37,4)="BsaI",LEFT(Data!H37,5)="BsmBI"),"2-1","2-2"))</f>
        <v/>
      </c>
      <c r="G79" s="9">
        <f>IF(Data!C37="","",Data!M37&amp;" / "&amp;Data!N37)</f>
        <v/>
      </c>
    </row>
    <row r="80">
      <c r="A80" s="9">
        <f>IF(Data!C38="","","□")</f>
        <v/>
      </c>
      <c r="B80" s="9">
        <f>IF(Data!C38="","",Data!C38)</f>
        <v/>
      </c>
      <c r="C80" s="11">
        <f>IF(Data!C38="","",Data!G38)</f>
        <v/>
      </c>
      <c r="D80" s="9">
        <f>IF(Data!C38="","",Data!J38)</f>
        <v/>
      </c>
      <c r="E80" s="9">
        <f>IF(Data!C38="","",Data!H38)</f>
        <v/>
      </c>
      <c r="F80" s="9">
        <f>IF(Data!C38="","",IF(OR(LEFT(Data!H38,4)="BsaI",LEFT(Data!H38,5)="BsmBI"),"2-1","2-2"))</f>
        <v/>
      </c>
      <c r="G80" s="9">
        <f>IF(Data!C38="","",Data!M38&amp;" / "&amp;Data!N38)</f>
        <v/>
      </c>
    </row>
    <row r="81">
      <c r="A81" s="9">
        <f>IF(Data!C39="","","□")</f>
        <v/>
      </c>
      <c r="B81" s="9">
        <f>IF(Data!C39="","",Data!C39)</f>
        <v/>
      </c>
      <c r="C81" s="11">
        <f>IF(Data!C39="","",Data!G39)</f>
        <v/>
      </c>
      <c r="D81" s="9">
        <f>IF(Data!C39="","",Data!J39)</f>
        <v/>
      </c>
      <c r="E81" s="9">
        <f>IF(Data!C39="","",Data!H39)</f>
        <v/>
      </c>
      <c r="F81" s="9">
        <f>IF(Data!C39="","",IF(OR(LEFT(Data!H39,4)="BsaI",LEFT(Data!H39,5)="BsmBI"),"2-1","2-2"))</f>
        <v/>
      </c>
      <c r="G81" s="9">
        <f>IF(Data!C39="","",Data!M39&amp;" / "&amp;Data!N39)</f>
        <v/>
      </c>
    </row>
    <row r="82">
      <c r="A82" s="9">
        <f>IF(Data!C40="","","□")</f>
        <v/>
      </c>
      <c r="B82" s="9">
        <f>IF(Data!C40="","",Data!C40)</f>
        <v/>
      </c>
      <c r="C82" s="11">
        <f>IF(Data!C40="","",Data!G40)</f>
        <v/>
      </c>
      <c r="D82" s="9">
        <f>IF(Data!C40="","",Data!J40)</f>
        <v/>
      </c>
      <c r="E82" s="9">
        <f>IF(Data!C40="","",Data!H40)</f>
        <v/>
      </c>
      <c r="F82" s="9">
        <f>IF(Data!C40="","",IF(OR(LEFT(Data!H40,4)="BsaI",LEFT(Data!H40,5)="BsmBI"),"2-1","2-2"))</f>
        <v/>
      </c>
      <c r="G82" s="9">
        <f>IF(Data!C40="","",Data!M40&amp;" / "&amp;Data!N40)</f>
        <v/>
      </c>
    </row>
    <row r="83">
      <c r="A83" s="9">
        <f>IF(Data!C41="","","□")</f>
        <v/>
      </c>
      <c r="B83" s="9">
        <f>IF(Data!C41="","",Data!C41)</f>
        <v/>
      </c>
      <c r="C83" s="11">
        <f>IF(Data!C41="","",Data!G41)</f>
        <v/>
      </c>
      <c r="D83" s="9">
        <f>IF(Data!C41="","",Data!J41)</f>
        <v/>
      </c>
      <c r="E83" s="9">
        <f>IF(Data!C41="","",Data!H41)</f>
        <v/>
      </c>
      <c r="F83" s="9">
        <f>IF(Data!C41="","",IF(OR(LEFT(Data!H41,4)="BsaI",LEFT(Data!H41,5)="BsmBI"),"2-1","2-2"))</f>
        <v/>
      </c>
      <c r="G83" s="9">
        <f>IF(Data!C41="","",Data!M41&amp;" / "&amp;Data!N41)</f>
        <v/>
      </c>
    </row>
    <row r="84">
      <c r="A84" s="9">
        <f>IF(Data!C42="","","□")</f>
        <v/>
      </c>
      <c r="B84" s="9">
        <f>IF(Data!C42="","",Data!C42)</f>
        <v/>
      </c>
      <c r="C84" s="11">
        <f>IF(Data!C42="","",Data!G42)</f>
        <v/>
      </c>
      <c r="D84" s="9">
        <f>IF(Data!C42="","",Data!J42)</f>
        <v/>
      </c>
      <c r="E84" s="9">
        <f>IF(Data!C42="","",Data!H42)</f>
        <v/>
      </c>
      <c r="F84" s="9">
        <f>IF(Data!C42="","",IF(OR(LEFT(Data!H42,4)="BsaI",LEFT(Data!H42,5)="BsmBI"),"2-1","2-2"))</f>
        <v/>
      </c>
      <c r="G84" s="9">
        <f>IF(Data!C42="","",Data!M42&amp;" / "&amp;Data!N42)</f>
        <v/>
      </c>
    </row>
    <row r="85">
      <c r="A85" s="9">
        <f>IF(Data!C43="","","□")</f>
        <v/>
      </c>
      <c r="B85" s="9">
        <f>IF(Data!C43="","",Data!C43)</f>
        <v/>
      </c>
      <c r="C85" s="11">
        <f>IF(Data!C43="","",Data!G43)</f>
        <v/>
      </c>
      <c r="D85" s="9">
        <f>IF(Data!C43="","",Data!J43)</f>
        <v/>
      </c>
      <c r="E85" s="9">
        <f>IF(Data!C43="","",Data!H43)</f>
        <v/>
      </c>
      <c r="F85" s="9">
        <f>IF(Data!C43="","",IF(OR(LEFT(Data!H43,4)="BsaI",LEFT(Data!H43,5)="BsmBI"),"2-1","2-2"))</f>
        <v/>
      </c>
      <c r="G85" s="9">
        <f>IF(Data!C43="","",Data!M43&amp;" / "&amp;Data!N43)</f>
        <v/>
      </c>
    </row>
    <row r="86">
      <c r="A86" s="9">
        <f>IF(Data!C44="","","□")</f>
        <v/>
      </c>
      <c r="B86" s="9">
        <f>IF(Data!C44="","",Data!C44)</f>
        <v/>
      </c>
      <c r="C86" s="11">
        <f>IF(Data!C44="","",Data!G44)</f>
        <v/>
      </c>
      <c r="D86" s="9">
        <f>IF(Data!C44="","",Data!J44)</f>
        <v/>
      </c>
      <c r="E86" s="9">
        <f>IF(Data!C44="","",Data!H44)</f>
        <v/>
      </c>
      <c r="F86" s="9">
        <f>IF(Data!C44="","",IF(OR(LEFT(Data!H44,4)="BsaI",LEFT(Data!H44,5)="BsmBI"),"2-1","2-2"))</f>
        <v/>
      </c>
      <c r="G86" s="9">
        <f>IF(Data!C44="","",Data!M44&amp;" / "&amp;Data!N44)</f>
        <v/>
      </c>
    </row>
    <row r="87">
      <c r="A87" s="9">
        <f>IF(Data!C45="","","□")</f>
        <v/>
      </c>
      <c r="B87" s="9">
        <f>IF(Data!C45="","",Data!C45)</f>
        <v/>
      </c>
      <c r="C87" s="11">
        <f>IF(Data!C45="","",Data!G45)</f>
        <v/>
      </c>
      <c r="D87" s="9">
        <f>IF(Data!C45="","",Data!J45)</f>
        <v/>
      </c>
      <c r="E87" s="9">
        <f>IF(Data!C45="","",Data!H45)</f>
        <v/>
      </c>
      <c r="F87" s="9">
        <f>IF(Data!C45="","",IF(OR(LEFT(Data!H45,4)="BsaI",LEFT(Data!H45,5)="BsmBI"),"2-1","2-2"))</f>
        <v/>
      </c>
      <c r="G87" s="9">
        <f>IF(Data!C45="","",Data!M45&amp;" / "&amp;Data!N45)</f>
        <v/>
      </c>
    </row>
    <row r="88">
      <c r="A88" s="9">
        <f>IF(Data!C46="","","□")</f>
        <v/>
      </c>
      <c r="B88" s="9">
        <f>IF(Data!C46="","",Data!C46)</f>
        <v/>
      </c>
      <c r="C88" s="11">
        <f>IF(Data!C46="","",Data!G46)</f>
        <v/>
      </c>
      <c r="D88" s="9">
        <f>IF(Data!C46="","",Data!J46)</f>
        <v/>
      </c>
      <c r="E88" s="9">
        <f>IF(Data!C46="","",Data!H46)</f>
        <v/>
      </c>
      <c r="F88" s="9">
        <f>IF(Data!C46="","",IF(OR(LEFT(Data!H46,4)="BsaI",LEFT(Data!H46,5)="BsmBI"),"2-1","2-2"))</f>
        <v/>
      </c>
      <c r="G88" s="9">
        <f>IF(Data!C46="","",Data!M46&amp;" / "&amp;Data!N46)</f>
        <v/>
      </c>
    </row>
    <row r="89">
      <c r="A89" s="9">
        <f>IF(Data!C47="","","□")</f>
        <v/>
      </c>
      <c r="B89" s="9">
        <f>IF(Data!C47="","",Data!C47)</f>
        <v/>
      </c>
      <c r="C89" s="11">
        <f>IF(Data!C47="","",Data!G47)</f>
        <v/>
      </c>
      <c r="D89" s="9">
        <f>IF(Data!C47="","",Data!J47)</f>
        <v/>
      </c>
      <c r="E89" s="9">
        <f>IF(Data!C47="","",Data!H47)</f>
        <v/>
      </c>
      <c r="F89" s="9">
        <f>IF(Data!C47="","",IF(OR(LEFT(Data!H47,4)="BsaI",LEFT(Data!H47,5)="BsmBI"),"2-1","2-2"))</f>
        <v/>
      </c>
      <c r="G89" s="9">
        <f>IF(Data!C47="","",Data!M47&amp;" / "&amp;Data!N47)</f>
        <v/>
      </c>
    </row>
    <row r="90">
      <c r="A90" s="9">
        <f>IF(Data!C48="","","□")</f>
        <v/>
      </c>
      <c r="B90" s="9">
        <f>IF(Data!C48="","",Data!C48)</f>
        <v/>
      </c>
      <c r="C90" s="11">
        <f>IF(Data!C48="","",Data!G48)</f>
        <v/>
      </c>
      <c r="D90" s="9">
        <f>IF(Data!C48="","",Data!J48)</f>
        <v/>
      </c>
      <c r="E90" s="9">
        <f>IF(Data!C48="","",Data!H48)</f>
        <v/>
      </c>
      <c r="F90" s="9">
        <f>IF(Data!C48="","",IF(OR(LEFT(Data!H48,4)="BsaI",LEFT(Data!H48,5)="BsmBI"),"2-1","2-2"))</f>
        <v/>
      </c>
      <c r="G90" s="9">
        <f>IF(Data!C48="","",Data!M48&amp;" / "&amp;Data!N48)</f>
        <v/>
      </c>
    </row>
    <row r="91">
      <c r="A91" s="9">
        <f>IF(Data!C49="","","□")</f>
        <v/>
      </c>
      <c r="B91" s="9">
        <f>IF(Data!C49="","",Data!C49)</f>
        <v/>
      </c>
      <c r="C91" s="11">
        <f>IF(Data!C49="","",Data!G49)</f>
        <v/>
      </c>
      <c r="D91" s="9">
        <f>IF(Data!C49="","",Data!J49)</f>
        <v/>
      </c>
      <c r="E91" s="9">
        <f>IF(Data!C49="","",Data!H49)</f>
        <v/>
      </c>
      <c r="F91" s="9">
        <f>IF(Data!C49="","",IF(OR(LEFT(Data!H49,4)="BsaI",LEFT(Data!H49,5)="BsmBI"),"2-1","2-2"))</f>
        <v/>
      </c>
      <c r="G91" s="9">
        <f>IF(Data!C49="","",Data!M49&amp;" / "&amp;Data!N49)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tabSelected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46" customWidth="1" min="3" max="3"/>
    <col width="13" customWidth="1" min="4" max="4"/>
    <col width="13" customWidth="1" min="5" max="5"/>
    <col width="20" customWidth="1" min="6" max="6"/>
  </cols>
  <sheetData>
    <row r="1">
      <c r="A1" s="2">
        <f>TODAY()</f>
        <v/>
      </c>
      <c r="C1" s="3" t="inlineStr">
        <is>
          <t>Cloning with Golden-gate assembly</t>
        </is>
      </c>
    </row>
    <row r="2"/>
    <row r="3">
      <c r="A3" s="4" t="inlineStr">
        <is>
          <t>3. Transformation</t>
        </is>
      </c>
    </row>
    <row r="4"/>
    <row r="5">
      <c r="B5" s="3" t="inlineStr">
        <is>
          <t>Samples</t>
        </is>
      </c>
      <c r="C5" s="3">
        <f>GGA!C8</f>
        <v/>
      </c>
      <c r="D5" s="6" t="inlineStr">
        <is>
          <t>samples</t>
        </is>
      </c>
    </row>
    <row r="6">
      <c r="B6" s="3" t="inlineStr">
        <is>
          <t>DH5α competent cells</t>
        </is>
      </c>
      <c r="C6" s="23">
        <f>C5*25</f>
        <v/>
      </c>
      <c r="D6" s="6" t="inlineStr">
        <is>
          <t>uL</t>
        </is>
      </c>
      <c r="E6" s="7" t="inlineStr">
        <is>
          <t>25 uL/sample</t>
        </is>
      </c>
    </row>
    <row r="7">
      <c r="B7" s="3" t="inlineStr">
        <is>
          <t>Recovery medium</t>
        </is>
      </c>
      <c r="C7" s="23">
        <f>C5*900</f>
        <v/>
      </c>
      <c r="D7" s="6" t="inlineStr">
        <is>
          <t>uL</t>
        </is>
      </c>
      <c r="E7" s="7" t="inlineStr">
        <is>
          <t>900 uL/sample</t>
        </is>
      </c>
    </row>
    <row r="8">
      <c r="B8" s="3" t="inlineStr">
        <is>
          <t>LB+Amp plate</t>
        </is>
      </c>
      <c r="C8" s="23">
        <f>ROUNDUP(C5/4,0)</f>
        <v/>
      </c>
      <c r="D8" s="6" t="inlineStr">
        <is>
          <t>plates</t>
        </is>
      </c>
      <c r="E8" s="7" t="inlineStr">
        <is>
          <t>4-section plates can be used</t>
        </is>
      </c>
    </row>
    <row r="9"/>
    <row r="10">
      <c r="A10" s="19" t="inlineStr">
        <is>
          <t>□</t>
        </is>
      </c>
      <c r="B10" s="5" t="inlineStr">
        <is>
          <t>Take the required number of DH5α competent cells out of the -80°C freezer</t>
        </is>
      </c>
    </row>
    <row r="11">
      <c r="B11" s="7" t="inlineStr">
        <is>
          <t>Start thawing in your hand while carrying, then thaw completely at room temperature</t>
        </is>
      </c>
    </row>
    <row r="12">
      <c r="A12" s="19" t="inlineStr">
        <is>
          <t>□</t>
        </is>
      </c>
      <c r="B12" s="5" t="inlineStr">
        <is>
          <t>Dispense 25 uL of DH5α per tube and add 2 uL of the ligation mix after the reaction</t>
        </is>
      </c>
    </row>
    <row r="13">
      <c r="A13" s="19" t="inlineStr">
        <is>
          <t>□</t>
        </is>
      </c>
      <c r="B13" s="5" t="inlineStr">
        <is>
          <t>Mix well by vortexing for 1~10 sec</t>
        </is>
      </c>
    </row>
    <row r="14">
      <c r="A14" s="19" t="inlineStr">
        <is>
          <t>□</t>
        </is>
      </c>
      <c r="B14" s="5" t="inlineStr">
        <is>
          <t>0~10 min on ice (optional)</t>
        </is>
      </c>
    </row>
    <row r="15">
      <c r="B15" s="7" t="inlineStr">
        <is>
          <t>Add the following 2 steps if needed</t>
        </is>
      </c>
    </row>
    <row r="16">
      <c r="A16" s="19" t="inlineStr">
        <is>
          <t>□</t>
        </is>
      </c>
      <c r="B16" s="5" t="inlineStr">
        <is>
          <t>Heat shock: 42°C, 45~90 sec</t>
        </is>
      </c>
    </row>
    <row r="17">
      <c r="A17" s="19" t="inlineStr">
        <is>
          <t>□</t>
        </is>
      </c>
      <c r="B17" s="5" t="inlineStr">
        <is>
          <t>1~5 min on ice (required in this case)</t>
        </is>
      </c>
    </row>
    <row r="18">
      <c r="A18" s="19" t="inlineStr">
        <is>
          <t>□</t>
        </is>
      </c>
      <c r="B18" s="5" t="inlineStr">
        <is>
          <t>Add 900 uL of recovery medium and incubate at 200 rpm, 37°C for 30~60 min</t>
        </is>
      </c>
    </row>
    <row r="19">
      <c r="A19" s="19" t="inlineStr">
        <is>
          <t>□</t>
        </is>
      </c>
      <c r="B19" s="5" t="inlineStr">
        <is>
          <t>Add ~100 uL to a pre-warmed plate and spread it unevenly on purpose</t>
        </is>
      </c>
    </row>
    <row r="20">
      <c r="A20" s="19" t="inlineStr">
        <is>
          <t>□</t>
        </is>
      </c>
      <c r="B20" s="5" t="inlineStr">
        <is>
          <t>37°C, overnight</t>
        </is>
      </c>
    </row>
    <row r="21">
      <c r="B21" s="7" t="inlineStr">
        <is>
          <t>If more than 2 days pass, run a program of 37°C, 24 hr  →  4°C, hold</t>
        </is>
      </c>
    </row>
    <row r="22"/>
    <row r="23"/>
    <row r="24">
      <c r="B24" s="3" t="inlineStr">
        <is>
          <t>Sample list</t>
        </is>
      </c>
    </row>
    <row r="25">
      <c r="A25" s="8" t="inlineStr"/>
      <c r="B25" s="8" t="inlineStr">
        <is>
          <t>Sub. No.</t>
        </is>
      </c>
      <c r="C25" s="8" t="inlineStr">
        <is>
          <t>Plasmid name</t>
        </is>
      </c>
      <c r="D25" s="8" t="inlineStr">
        <is>
          <t>Plate</t>
        </is>
      </c>
      <c r="E25" s="8" t="inlineStr">
        <is>
          <t>Colony</t>
        </is>
      </c>
      <c r="F25" s="8" t="inlineStr">
        <is>
          <t>Memo</t>
        </is>
      </c>
    </row>
    <row r="26">
      <c r="A26" s="9">
        <f>IF(Data!C2="","","□")</f>
        <v/>
      </c>
      <c r="B26" s="9">
        <f>IF(Data!C2="","",Data!C2)</f>
        <v/>
      </c>
      <c r="C26" s="11">
        <f>IF(Data!C2="","",Data!G2)</f>
        <v/>
      </c>
      <c r="D26" s="9">
        <f>IF(Data!C2="","",ROUNDUP((ROW()-25)/4,0)&amp;"-"&amp;MOD(ROW()-26,4)+1)</f>
        <v/>
      </c>
      <c r="E26" s="10" t="inlineStr"/>
      <c r="F26" s="10" t="inlineStr"/>
    </row>
    <row r="27">
      <c r="A27" s="9">
        <f>IF(Data!C3="","","□")</f>
        <v/>
      </c>
      <c r="B27" s="9">
        <f>IF(Data!C3="","",Data!C3)</f>
        <v/>
      </c>
      <c r="C27" s="11">
        <f>IF(Data!C3="","",Data!G3)</f>
        <v/>
      </c>
      <c r="D27" s="9">
        <f>IF(Data!C3="","",ROUNDUP((ROW()-25)/4,0)&amp;"-"&amp;MOD(ROW()-26,4)+1)</f>
        <v/>
      </c>
      <c r="E27" s="10" t="inlineStr"/>
      <c r="F27" s="10" t="inlineStr"/>
    </row>
    <row r="28">
      <c r="A28" s="9">
        <f>IF(Data!C4="","","□")</f>
        <v/>
      </c>
      <c r="B28" s="9">
        <f>IF(Data!C4="","",Data!C4)</f>
        <v/>
      </c>
      <c r="C28" s="11">
        <f>IF(Data!C4="","",Data!G4)</f>
        <v/>
      </c>
      <c r="D28" s="9">
        <f>IF(Data!C4="","",ROUNDUP((ROW()-25)/4,0)&amp;"-"&amp;MOD(ROW()-26,4)+1)</f>
        <v/>
      </c>
      <c r="E28" s="10" t="inlineStr"/>
      <c r="F28" s="10" t="inlineStr"/>
    </row>
    <row r="29">
      <c r="A29" s="9">
        <f>IF(Data!C5="","","□")</f>
        <v/>
      </c>
      <c r="B29" s="9">
        <f>IF(Data!C5="","",Data!C5)</f>
        <v/>
      </c>
      <c r="C29" s="11">
        <f>IF(Data!C5="","",Data!G5)</f>
        <v/>
      </c>
      <c r="D29" s="9">
        <f>IF(Data!C5="","",ROUNDUP((ROW()-25)/4,0)&amp;"-"&amp;MOD(ROW()-26,4)+1)</f>
        <v/>
      </c>
      <c r="E29" s="10" t="inlineStr"/>
      <c r="F29" s="10" t="inlineStr"/>
    </row>
    <row r="30">
      <c r="A30" s="9">
        <f>IF(Data!C6="","","□")</f>
        <v/>
      </c>
      <c r="B30" s="9">
        <f>IF(Data!C6="","",Data!C6)</f>
        <v/>
      </c>
      <c r="C30" s="11">
        <f>IF(Data!C6="","",Data!G6)</f>
        <v/>
      </c>
      <c r="D30" s="9">
        <f>IF(Data!C6="","",ROUNDUP((ROW()-25)/4,0)&amp;"-"&amp;MOD(ROW()-26,4)+1)</f>
        <v/>
      </c>
      <c r="E30" s="10" t="inlineStr"/>
      <c r="F30" s="10" t="inlineStr"/>
    </row>
    <row r="31">
      <c r="A31" s="9">
        <f>IF(Data!C7="","","□")</f>
        <v/>
      </c>
      <c r="B31" s="9">
        <f>IF(Data!C7="","",Data!C7)</f>
        <v/>
      </c>
      <c r="C31" s="11">
        <f>IF(Data!C7="","",Data!G7)</f>
        <v/>
      </c>
      <c r="D31" s="9">
        <f>IF(Data!C7="","",ROUNDUP((ROW()-25)/4,0)&amp;"-"&amp;MOD(ROW()-26,4)+1)</f>
        <v/>
      </c>
      <c r="E31" s="10" t="inlineStr"/>
      <c r="F31" s="10" t="inlineStr"/>
    </row>
    <row r="32">
      <c r="A32" s="9">
        <f>IF(Data!C8="","","□")</f>
        <v/>
      </c>
      <c r="B32" s="9">
        <f>IF(Data!C8="","",Data!C8)</f>
        <v/>
      </c>
      <c r="C32" s="11">
        <f>IF(Data!C8="","",Data!G8)</f>
        <v/>
      </c>
      <c r="D32" s="9">
        <f>IF(Data!C8="","",ROUNDUP((ROW()-25)/4,0)&amp;"-"&amp;MOD(ROW()-26,4)+1)</f>
        <v/>
      </c>
      <c r="E32" s="10" t="inlineStr"/>
      <c r="F32" s="10" t="inlineStr"/>
    </row>
    <row r="33">
      <c r="A33" s="9">
        <f>IF(Data!C9="","","□")</f>
        <v/>
      </c>
      <c r="B33" s="9">
        <f>IF(Data!C9="","",Data!C9)</f>
        <v/>
      </c>
      <c r="C33" s="11">
        <f>IF(Data!C9="","",Data!G9)</f>
        <v/>
      </c>
      <c r="D33" s="9">
        <f>IF(Data!C9="","",ROUNDUP((ROW()-25)/4,0)&amp;"-"&amp;MOD(ROW()-26,4)+1)</f>
        <v/>
      </c>
      <c r="E33" s="10" t="inlineStr"/>
      <c r="F33" s="10" t="inlineStr"/>
    </row>
    <row r="34">
      <c r="A34" s="9">
        <f>IF(Data!C10="","","□")</f>
        <v/>
      </c>
      <c r="B34" s="9">
        <f>IF(Data!C10="","",Data!C10)</f>
        <v/>
      </c>
      <c r="C34" s="11">
        <f>IF(Data!C10="","",Data!G10)</f>
        <v/>
      </c>
      <c r="D34" s="9">
        <f>IF(Data!C10="","",ROUNDUP((ROW()-25)/4,0)&amp;"-"&amp;MOD(ROW()-26,4)+1)</f>
        <v/>
      </c>
      <c r="E34" s="10" t="inlineStr"/>
      <c r="F34" s="10" t="inlineStr"/>
    </row>
    <row r="35">
      <c r="A35" s="9">
        <f>IF(Data!C11="","","□")</f>
        <v/>
      </c>
      <c r="B35" s="9">
        <f>IF(Data!C11="","",Data!C11)</f>
        <v/>
      </c>
      <c r="C35" s="11">
        <f>IF(Data!C11="","",Data!G11)</f>
        <v/>
      </c>
      <c r="D35" s="9">
        <f>IF(Data!C11="","",ROUNDUP((ROW()-25)/4,0)&amp;"-"&amp;MOD(ROW()-26,4)+1)</f>
        <v/>
      </c>
      <c r="E35" s="10" t="inlineStr"/>
      <c r="F35" s="10" t="inlineStr"/>
    </row>
    <row r="36">
      <c r="A36" s="9">
        <f>IF(Data!C12="","","□")</f>
        <v/>
      </c>
      <c r="B36" s="9">
        <f>IF(Data!C12="","",Data!C12)</f>
        <v/>
      </c>
      <c r="C36" s="11">
        <f>IF(Data!C12="","",Data!G12)</f>
        <v/>
      </c>
      <c r="D36" s="9">
        <f>IF(Data!C12="","",ROUNDUP((ROW()-25)/4,0)&amp;"-"&amp;MOD(ROW()-26,4)+1)</f>
        <v/>
      </c>
      <c r="E36" s="10" t="inlineStr"/>
      <c r="F36" s="10" t="inlineStr"/>
    </row>
    <row r="37">
      <c r="A37" s="9">
        <f>IF(Data!C13="","","□")</f>
        <v/>
      </c>
      <c r="B37" s="9">
        <f>IF(Data!C13="","",Data!C13)</f>
        <v/>
      </c>
      <c r="C37" s="11">
        <f>IF(Data!C13="","",Data!G13)</f>
        <v/>
      </c>
      <c r="D37" s="9">
        <f>IF(Data!C13="","",ROUNDUP((ROW()-25)/4,0)&amp;"-"&amp;MOD(ROW()-26,4)+1)</f>
        <v/>
      </c>
      <c r="E37" s="10" t="inlineStr"/>
      <c r="F37" s="10" t="inlineStr"/>
    </row>
    <row r="38">
      <c r="A38" s="9">
        <f>IF(Data!C14="","","□")</f>
        <v/>
      </c>
      <c r="B38" s="9">
        <f>IF(Data!C14="","",Data!C14)</f>
        <v/>
      </c>
      <c r="C38" s="11">
        <f>IF(Data!C14="","",Data!G14)</f>
        <v/>
      </c>
      <c r="D38" s="9">
        <f>IF(Data!C14="","",ROUNDUP((ROW()-25)/4,0)&amp;"-"&amp;MOD(ROW()-26,4)+1)</f>
        <v/>
      </c>
      <c r="E38" s="10" t="inlineStr"/>
      <c r="F38" s="10" t="inlineStr"/>
    </row>
    <row r="39">
      <c r="A39" s="9">
        <f>IF(Data!C15="","","□")</f>
        <v/>
      </c>
      <c r="B39" s="9">
        <f>IF(Data!C15="","",Data!C15)</f>
        <v/>
      </c>
      <c r="C39" s="11">
        <f>IF(Data!C15="","",Data!G15)</f>
        <v/>
      </c>
      <c r="D39" s="9">
        <f>IF(Data!C15="","",ROUNDUP((ROW()-25)/4,0)&amp;"-"&amp;MOD(ROW()-26,4)+1)</f>
        <v/>
      </c>
      <c r="E39" s="10" t="inlineStr"/>
      <c r="F39" s="10" t="inlineStr"/>
    </row>
    <row r="40">
      <c r="A40" s="9">
        <f>IF(Data!C16="","","□")</f>
        <v/>
      </c>
      <c r="B40" s="9">
        <f>IF(Data!C16="","",Data!C16)</f>
        <v/>
      </c>
      <c r="C40" s="11">
        <f>IF(Data!C16="","",Data!G16)</f>
        <v/>
      </c>
      <c r="D40" s="9">
        <f>IF(Data!C16="","",ROUNDUP((ROW()-25)/4,0)&amp;"-"&amp;MOD(ROW()-26,4)+1)</f>
        <v/>
      </c>
      <c r="E40" s="10" t="inlineStr"/>
      <c r="F40" s="10" t="inlineStr"/>
    </row>
    <row r="41">
      <c r="A41" s="9">
        <f>IF(Data!C17="","","□")</f>
        <v/>
      </c>
      <c r="B41" s="9">
        <f>IF(Data!C17="","",Data!C17)</f>
        <v/>
      </c>
      <c r="C41" s="11">
        <f>IF(Data!C17="","",Data!G17)</f>
        <v/>
      </c>
      <c r="D41" s="9">
        <f>IF(Data!C17="","",ROUNDUP((ROW()-25)/4,0)&amp;"-"&amp;MOD(ROW()-26,4)+1)</f>
        <v/>
      </c>
      <c r="E41" s="10" t="inlineStr"/>
      <c r="F41" s="10" t="inlineStr"/>
    </row>
    <row r="42">
      <c r="A42" s="9">
        <f>IF(Data!C18="","","□")</f>
        <v/>
      </c>
      <c r="B42" s="9">
        <f>IF(Data!C18="","",Data!C18)</f>
        <v/>
      </c>
      <c r="C42" s="11">
        <f>IF(Data!C18="","",Data!G18)</f>
        <v/>
      </c>
      <c r="D42" s="9">
        <f>IF(Data!C18="","",ROUNDUP((ROW()-25)/4,0)&amp;"-"&amp;MOD(ROW()-26,4)+1)</f>
        <v/>
      </c>
      <c r="E42" s="10" t="inlineStr"/>
      <c r="F42" s="10" t="inlineStr"/>
    </row>
    <row r="43">
      <c r="A43" s="9">
        <f>IF(Data!C19="","","□")</f>
        <v/>
      </c>
      <c r="B43" s="9">
        <f>IF(Data!C19="","",Data!C19)</f>
        <v/>
      </c>
      <c r="C43" s="11">
        <f>IF(Data!C19="","",Data!G19)</f>
        <v/>
      </c>
      <c r="D43" s="9">
        <f>IF(Data!C19="","",ROUNDUP((ROW()-25)/4,0)&amp;"-"&amp;MOD(ROW()-26,4)+1)</f>
        <v/>
      </c>
      <c r="E43" s="10" t="inlineStr"/>
      <c r="F43" s="10" t="inlineStr"/>
    </row>
    <row r="44">
      <c r="A44" s="9">
        <f>IF(Data!C20="","","□")</f>
        <v/>
      </c>
      <c r="B44" s="9">
        <f>IF(Data!C20="","",Data!C20)</f>
        <v/>
      </c>
      <c r="C44" s="11">
        <f>IF(Data!C20="","",Data!G20)</f>
        <v/>
      </c>
      <c r="D44" s="9">
        <f>IF(Data!C20="","",ROUNDUP((ROW()-25)/4,0)&amp;"-"&amp;MOD(ROW()-26,4)+1)</f>
        <v/>
      </c>
      <c r="E44" s="10" t="inlineStr"/>
      <c r="F44" s="10" t="inlineStr"/>
    </row>
    <row r="45">
      <c r="A45" s="9">
        <f>IF(Data!C21="","","□")</f>
        <v/>
      </c>
      <c r="B45" s="9">
        <f>IF(Data!C21="","",Data!C21)</f>
        <v/>
      </c>
      <c r="C45" s="11">
        <f>IF(Data!C21="","",Data!G21)</f>
        <v/>
      </c>
      <c r="D45" s="9">
        <f>IF(Data!C21="","",ROUNDUP((ROW()-25)/4,0)&amp;"-"&amp;MOD(ROW()-26,4)+1)</f>
        <v/>
      </c>
      <c r="E45" s="10" t="inlineStr"/>
      <c r="F45" s="10" t="inlineStr"/>
    </row>
    <row r="46">
      <c r="A46" s="9">
        <f>IF(Data!C22="","","□")</f>
        <v/>
      </c>
      <c r="B46" s="9">
        <f>IF(Data!C22="","",Data!C22)</f>
        <v/>
      </c>
      <c r="C46" s="11">
        <f>IF(Data!C22="","",Data!G22)</f>
        <v/>
      </c>
      <c r="D46" s="9">
        <f>IF(Data!C22="","",ROUNDUP((ROW()-25)/4,0)&amp;"-"&amp;MOD(ROW()-26,4)+1)</f>
        <v/>
      </c>
      <c r="E46" s="10" t="inlineStr"/>
      <c r="F46" s="10" t="inlineStr"/>
    </row>
    <row r="47">
      <c r="A47" s="9">
        <f>IF(Data!C23="","","□")</f>
        <v/>
      </c>
      <c r="B47" s="9">
        <f>IF(Data!C23="","",Data!C23)</f>
        <v/>
      </c>
      <c r="C47" s="11">
        <f>IF(Data!C23="","",Data!G23)</f>
        <v/>
      </c>
      <c r="D47" s="9">
        <f>IF(Data!C23="","",ROUNDUP((ROW()-25)/4,0)&amp;"-"&amp;MOD(ROW()-26,4)+1)</f>
        <v/>
      </c>
      <c r="E47" s="10" t="inlineStr"/>
      <c r="F47" s="10" t="inlineStr"/>
    </row>
    <row r="48">
      <c r="A48" s="9">
        <f>IF(Data!C24="","","□")</f>
        <v/>
      </c>
      <c r="B48" s="9">
        <f>IF(Data!C24="","",Data!C24)</f>
        <v/>
      </c>
      <c r="C48" s="11">
        <f>IF(Data!C24="","",Data!G24)</f>
        <v/>
      </c>
      <c r="D48" s="9">
        <f>IF(Data!C24="","",ROUNDUP((ROW()-25)/4,0)&amp;"-"&amp;MOD(ROW()-26,4)+1)</f>
        <v/>
      </c>
      <c r="E48" s="10" t="inlineStr"/>
      <c r="F48" s="10" t="inlineStr"/>
    </row>
    <row r="49">
      <c r="A49" s="9">
        <f>IF(Data!C25="","","□")</f>
        <v/>
      </c>
      <c r="B49" s="9">
        <f>IF(Data!C25="","",Data!C25)</f>
        <v/>
      </c>
      <c r="C49" s="11">
        <f>IF(Data!C25="","",Data!G25)</f>
        <v/>
      </c>
      <c r="D49" s="9">
        <f>IF(Data!C25="","",ROUNDUP((ROW()-25)/4,0)&amp;"-"&amp;MOD(ROW()-26,4)+1)</f>
        <v/>
      </c>
      <c r="E49" s="10" t="inlineStr"/>
      <c r="F49" s="10" t="inlineStr"/>
    </row>
    <row r="50">
      <c r="A50" s="9">
        <f>IF(Data!C26="","","□")</f>
        <v/>
      </c>
      <c r="B50" s="9">
        <f>IF(Data!C26="","",Data!C26)</f>
        <v/>
      </c>
      <c r="C50" s="11">
        <f>IF(Data!C26="","",Data!G26)</f>
        <v/>
      </c>
      <c r="D50" s="9">
        <f>IF(Data!C26="","",ROUNDUP((ROW()-25)/4,0)&amp;"-"&amp;MOD(ROW()-26,4)+1)</f>
        <v/>
      </c>
      <c r="E50" s="10" t="inlineStr"/>
      <c r="F50" s="10" t="inlineStr"/>
    </row>
    <row r="51">
      <c r="A51" s="9">
        <f>IF(Data!C27="","","□")</f>
        <v/>
      </c>
      <c r="B51" s="9">
        <f>IF(Data!C27="","",Data!C27)</f>
        <v/>
      </c>
      <c r="C51" s="11">
        <f>IF(Data!C27="","",Data!G27)</f>
        <v/>
      </c>
      <c r="D51" s="9">
        <f>IF(Data!C27="","",ROUNDUP((ROW()-25)/4,0)&amp;"-"&amp;MOD(ROW()-26,4)+1)</f>
        <v/>
      </c>
      <c r="E51" s="10" t="inlineStr"/>
      <c r="F51" s="10" t="inlineStr"/>
    </row>
    <row r="52">
      <c r="A52" s="9">
        <f>IF(Data!C28="","","□")</f>
        <v/>
      </c>
      <c r="B52" s="9">
        <f>IF(Data!C28="","",Data!C28)</f>
        <v/>
      </c>
      <c r="C52" s="11">
        <f>IF(Data!C28="","",Data!G28)</f>
        <v/>
      </c>
      <c r="D52" s="9">
        <f>IF(Data!C28="","",ROUNDUP((ROW()-25)/4,0)&amp;"-"&amp;MOD(ROW()-26,4)+1)</f>
        <v/>
      </c>
      <c r="E52" s="10" t="inlineStr"/>
      <c r="F52" s="10" t="inlineStr"/>
    </row>
    <row r="53">
      <c r="A53" s="9">
        <f>IF(Data!C29="","","□")</f>
        <v/>
      </c>
      <c r="B53" s="9">
        <f>IF(Data!C29="","",Data!C29)</f>
        <v/>
      </c>
      <c r="C53" s="11">
        <f>IF(Data!C29="","",Data!G29)</f>
        <v/>
      </c>
      <c r="D53" s="9">
        <f>IF(Data!C29="","",ROUNDUP((ROW()-25)/4,0)&amp;"-"&amp;MOD(ROW()-26,4)+1)</f>
        <v/>
      </c>
      <c r="E53" s="10" t="inlineStr"/>
      <c r="F53" s="10" t="inlineStr"/>
    </row>
    <row r="54">
      <c r="A54" s="9">
        <f>IF(Data!C30="","","□")</f>
        <v/>
      </c>
      <c r="B54" s="9">
        <f>IF(Data!C30="","",Data!C30)</f>
        <v/>
      </c>
      <c r="C54" s="11">
        <f>IF(Data!C30="","",Data!G30)</f>
        <v/>
      </c>
      <c r="D54" s="9">
        <f>IF(Data!C30="","",ROUNDUP((ROW()-25)/4,0)&amp;"-"&amp;MOD(ROW()-26,4)+1)</f>
        <v/>
      </c>
      <c r="E54" s="10" t="inlineStr"/>
      <c r="F54" s="10" t="inlineStr"/>
    </row>
    <row r="55">
      <c r="A55" s="9">
        <f>IF(Data!C31="","","□")</f>
        <v/>
      </c>
      <c r="B55" s="9">
        <f>IF(Data!C31="","",Data!C31)</f>
        <v/>
      </c>
      <c r="C55" s="11">
        <f>IF(Data!C31="","",Data!G31)</f>
        <v/>
      </c>
      <c r="D55" s="9">
        <f>IF(Data!C31="","",ROUNDUP((ROW()-25)/4,0)&amp;"-"&amp;MOD(ROW()-26,4)+1)</f>
        <v/>
      </c>
      <c r="E55" s="10" t="inlineStr"/>
      <c r="F55" s="10" t="inlineStr"/>
    </row>
    <row r="56">
      <c r="A56" s="9">
        <f>IF(Data!C32="","","□")</f>
        <v/>
      </c>
      <c r="B56" s="9">
        <f>IF(Data!C32="","",Data!C32)</f>
        <v/>
      </c>
      <c r="C56" s="11">
        <f>IF(Data!C32="","",Data!G32)</f>
        <v/>
      </c>
      <c r="D56" s="9">
        <f>IF(Data!C32="","",ROUNDUP((ROW()-25)/4,0)&amp;"-"&amp;MOD(ROW()-26,4)+1)</f>
        <v/>
      </c>
      <c r="E56" s="10" t="inlineStr"/>
      <c r="F56" s="10" t="inlineStr"/>
    </row>
    <row r="57">
      <c r="A57" s="9">
        <f>IF(Data!C33="","","□")</f>
        <v/>
      </c>
      <c r="B57" s="9">
        <f>IF(Data!C33="","",Data!C33)</f>
        <v/>
      </c>
      <c r="C57" s="11">
        <f>IF(Data!C33="","",Data!G33)</f>
        <v/>
      </c>
      <c r="D57" s="9">
        <f>IF(Data!C33="","",ROUNDUP((ROW()-25)/4,0)&amp;"-"&amp;MOD(ROW()-26,4)+1)</f>
        <v/>
      </c>
      <c r="E57" s="10" t="inlineStr"/>
      <c r="F57" s="10" t="inlineStr"/>
    </row>
    <row r="58">
      <c r="A58" s="9">
        <f>IF(Data!C34="","","□")</f>
        <v/>
      </c>
      <c r="B58" s="9">
        <f>IF(Data!C34="","",Data!C34)</f>
        <v/>
      </c>
      <c r="C58" s="11">
        <f>IF(Data!C34="","",Data!G34)</f>
        <v/>
      </c>
      <c r="D58" s="9">
        <f>IF(Data!C34="","",ROUNDUP((ROW()-25)/4,0)&amp;"-"&amp;MOD(ROW()-26,4)+1)</f>
        <v/>
      </c>
      <c r="E58" s="10" t="inlineStr"/>
      <c r="F58" s="10" t="inlineStr"/>
    </row>
    <row r="59">
      <c r="A59" s="9">
        <f>IF(Data!C35="","","□")</f>
        <v/>
      </c>
      <c r="B59" s="9">
        <f>IF(Data!C35="","",Data!C35)</f>
        <v/>
      </c>
      <c r="C59" s="11">
        <f>IF(Data!C35="","",Data!G35)</f>
        <v/>
      </c>
      <c r="D59" s="9">
        <f>IF(Data!C35="","",ROUNDUP((ROW()-25)/4,0)&amp;"-"&amp;MOD(ROW()-26,4)+1)</f>
        <v/>
      </c>
      <c r="E59" s="10" t="inlineStr"/>
      <c r="F59" s="10" t="inlineStr"/>
    </row>
    <row r="60">
      <c r="A60" s="9">
        <f>IF(Data!C36="","","□")</f>
        <v/>
      </c>
      <c r="B60" s="9">
        <f>IF(Data!C36="","",Data!C36)</f>
        <v/>
      </c>
      <c r="C60" s="11">
        <f>IF(Data!C36="","",Data!G36)</f>
        <v/>
      </c>
      <c r="D60" s="9">
        <f>IF(Data!C36="","",ROUNDUP((ROW()-25)/4,0)&amp;"-"&amp;MOD(ROW()-26,4)+1)</f>
        <v/>
      </c>
      <c r="E60" s="10" t="inlineStr"/>
      <c r="F60" s="10" t="inlineStr"/>
    </row>
    <row r="61">
      <c r="A61" s="9">
        <f>IF(Data!C37="","","□")</f>
        <v/>
      </c>
      <c r="B61" s="9">
        <f>IF(Data!C37="","",Data!C37)</f>
        <v/>
      </c>
      <c r="C61" s="11">
        <f>IF(Data!C37="","",Data!G37)</f>
        <v/>
      </c>
      <c r="D61" s="9">
        <f>IF(Data!C37="","",ROUNDUP((ROW()-25)/4,0)&amp;"-"&amp;MOD(ROW()-26,4)+1)</f>
        <v/>
      </c>
      <c r="E61" s="10" t="inlineStr"/>
      <c r="F61" s="10" t="inlineStr"/>
    </row>
    <row r="62">
      <c r="A62" s="9">
        <f>IF(Data!C38="","","□")</f>
        <v/>
      </c>
      <c r="B62" s="9">
        <f>IF(Data!C38="","",Data!C38)</f>
        <v/>
      </c>
      <c r="C62" s="11">
        <f>IF(Data!C38="","",Data!G38)</f>
        <v/>
      </c>
      <c r="D62" s="9">
        <f>IF(Data!C38="","",ROUNDUP((ROW()-25)/4,0)&amp;"-"&amp;MOD(ROW()-26,4)+1)</f>
        <v/>
      </c>
      <c r="E62" s="10" t="inlineStr"/>
      <c r="F62" s="10" t="inlineStr"/>
    </row>
    <row r="63">
      <c r="A63" s="9">
        <f>IF(Data!C39="","","□")</f>
        <v/>
      </c>
      <c r="B63" s="9">
        <f>IF(Data!C39="","",Data!C39)</f>
        <v/>
      </c>
      <c r="C63" s="11">
        <f>IF(Data!C39="","",Data!G39)</f>
        <v/>
      </c>
      <c r="D63" s="9">
        <f>IF(Data!C39="","",ROUNDUP((ROW()-25)/4,0)&amp;"-"&amp;MOD(ROW()-26,4)+1)</f>
        <v/>
      </c>
      <c r="E63" s="10" t="inlineStr"/>
      <c r="F63" s="10" t="inlineStr"/>
    </row>
    <row r="64">
      <c r="A64" s="9">
        <f>IF(Data!C40="","","□")</f>
        <v/>
      </c>
      <c r="B64" s="9">
        <f>IF(Data!C40="","",Data!C40)</f>
        <v/>
      </c>
      <c r="C64" s="11">
        <f>IF(Data!C40="","",Data!G40)</f>
        <v/>
      </c>
      <c r="D64" s="9">
        <f>IF(Data!C40="","",ROUNDUP((ROW()-25)/4,0)&amp;"-"&amp;MOD(ROW()-26,4)+1)</f>
        <v/>
      </c>
      <c r="E64" s="10" t="inlineStr"/>
      <c r="F64" s="10" t="inlineStr"/>
    </row>
    <row r="65">
      <c r="A65" s="9">
        <f>IF(Data!C41="","","□")</f>
        <v/>
      </c>
      <c r="B65" s="9">
        <f>IF(Data!C41="","",Data!C41)</f>
        <v/>
      </c>
      <c r="C65" s="11">
        <f>IF(Data!C41="","",Data!G41)</f>
        <v/>
      </c>
      <c r="D65" s="9">
        <f>IF(Data!C41="","",ROUNDUP((ROW()-25)/4,0)&amp;"-"&amp;MOD(ROW()-26,4)+1)</f>
        <v/>
      </c>
      <c r="E65" s="10" t="inlineStr"/>
      <c r="F65" s="10" t="inlineStr"/>
    </row>
    <row r="66">
      <c r="A66" s="9">
        <f>IF(Data!C42="","","□")</f>
        <v/>
      </c>
      <c r="B66" s="9">
        <f>IF(Data!C42="","",Data!C42)</f>
        <v/>
      </c>
      <c r="C66" s="11">
        <f>IF(Data!C42="","",Data!G42)</f>
        <v/>
      </c>
      <c r="D66" s="9">
        <f>IF(Data!C42="","",ROUNDUP((ROW()-25)/4,0)&amp;"-"&amp;MOD(ROW()-26,4)+1)</f>
        <v/>
      </c>
      <c r="E66" s="10" t="inlineStr"/>
      <c r="F66" s="10" t="inlineStr"/>
    </row>
    <row r="67">
      <c r="A67" s="9">
        <f>IF(Data!C43="","","□")</f>
        <v/>
      </c>
      <c r="B67" s="9">
        <f>IF(Data!C43="","",Data!C43)</f>
        <v/>
      </c>
      <c r="C67" s="11">
        <f>IF(Data!C43="","",Data!G43)</f>
        <v/>
      </c>
      <c r="D67" s="9">
        <f>IF(Data!C43="","",ROUNDUP((ROW()-25)/4,0)&amp;"-"&amp;MOD(ROW()-26,4)+1)</f>
        <v/>
      </c>
      <c r="E67" s="10" t="inlineStr"/>
      <c r="F67" s="10" t="inlineStr"/>
    </row>
    <row r="68">
      <c r="A68" s="9">
        <f>IF(Data!C44="","","□")</f>
        <v/>
      </c>
      <c r="B68" s="9">
        <f>IF(Data!C44="","",Data!C44)</f>
        <v/>
      </c>
      <c r="C68" s="11">
        <f>IF(Data!C44="","",Data!G44)</f>
        <v/>
      </c>
      <c r="D68" s="9">
        <f>IF(Data!C44="","",ROUNDUP((ROW()-25)/4,0)&amp;"-"&amp;MOD(ROW()-26,4)+1)</f>
        <v/>
      </c>
      <c r="E68" s="10" t="inlineStr"/>
      <c r="F68" s="10" t="inlineStr"/>
    </row>
    <row r="69">
      <c r="A69" s="9">
        <f>IF(Data!C45="","","□")</f>
        <v/>
      </c>
      <c r="B69" s="9">
        <f>IF(Data!C45="","",Data!C45)</f>
        <v/>
      </c>
      <c r="C69" s="11">
        <f>IF(Data!C45="","",Data!G45)</f>
        <v/>
      </c>
      <c r="D69" s="9">
        <f>IF(Data!C45="","",ROUNDUP((ROW()-25)/4,0)&amp;"-"&amp;MOD(ROW()-26,4)+1)</f>
        <v/>
      </c>
      <c r="E69" s="10" t="inlineStr"/>
      <c r="F69" s="10" t="inlineStr"/>
    </row>
    <row r="70">
      <c r="A70" s="9">
        <f>IF(Data!C46="","","□")</f>
        <v/>
      </c>
      <c r="B70" s="9">
        <f>IF(Data!C46="","",Data!C46)</f>
        <v/>
      </c>
      <c r="C70" s="11">
        <f>IF(Data!C46="","",Data!G46)</f>
        <v/>
      </c>
      <c r="D70" s="9">
        <f>IF(Data!C46="","",ROUNDUP((ROW()-25)/4,0)&amp;"-"&amp;MOD(ROW()-26,4)+1)</f>
        <v/>
      </c>
      <c r="E70" s="10" t="inlineStr"/>
      <c r="F70" s="10" t="inlineStr"/>
    </row>
    <row r="71">
      <c r="A71" s="9">
        <f>IF(Data!C47="","","□")</f>
        <v/>
      </c>
      <c r="B71" s="9">
        <f>IF(Data!C47="","",Data!C47)</f>
        <v/>
      </c>
      <c r="C71" s="11">
        <f>IF(Data!C47="","",Data!G47)</f>
        <v/>
      </c>
      <c r="D71" s="9">
        <f>IF(Data!C47="","",ROUNDUP((ROW()-25)/4,0)&amp;"-"&amp;MOD(ROW()-26,4)+1)</f>
        <v/>
      </c>
      <c r="E71" s="10" t="inlineStr"/>
      <c r="F71" s="10" t="inlineStr"/>
    </row>
    <row r="72">
      <c r="A72" s="9">
        <f>IF(Data!C48="","","□")</f>
        <v/>
      </c>
      <c r="B72" s="9">
        <f>IF(Data!C48="","",Data!C48)</f>
        <v/>
      </c>
      <c r="C72" s="11">
        <f>IF(Data!C48="","",Data!G48)</f>
        <v/>
      </c>
      <c r="D72" s="9">
        <f>IF(Data!C48="","",ROUNDUP((ROW()-25)/4,0)&amp;"-"&amp;MOD(ROW()-26,4)+1)</f>
        <v/>
      </c>
      <c r="E72" s="10" t="inlineStr"/>
      <c r="F72" s="10" t="inlineStr"/>
    </row>
    <row r="73">
      <c r="A73" s="9">
        <f>IF(Data!C49="","","□")</f>
        <v/>
      </c>
      <c r="B73" s="9">
        <f>IF(Data!C49="","",Data!C49)</f>
        <v/>
      </c>
      <c r="C73" s="11">
        <f>IF(Data!C49="","",Data!G49)</f>
        <v/>
      </c>
      <c r="D73" s="9">
        <f>IF(Data!C49="","",ROUNDUP((ROW()-25)/4,0)&amp;"-"&amp;MOD(ROW()-26,4)+1)</f>
        <v/>
      </c>
      <c r="E73" s="10" t="inlineStr"/>
      <c r="F73" s="10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2026-10-08T04:20:20Z</dcterms:created>
  <dcterms:modified xmlns:dcterms="http://purl.org/dc/terms/" xmlns:xsi="http://www.w3.org/2001/XMLSchema-instance" xsi:type="dcterms:W3CDTF">2026-10-11T23:04:33Z</dcterms:modified>
  <cp:lastModifiedBy/>
</cp:coreProperties>
</file>